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E757BCB4-07E6-AE0B-56E0-F0EEF7A6E26C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quent_rv66ksk\Desktop\P_Prod-JeuEchecs\document\"/>
    </mc:Choice>
  </mc:AlternateContent>
  <xr:revisionPtr revIDLastSave="0" documentId="13_ncr:1_{B8C5CD80-16AC-4174-A174-3993576D34F3}" xr6:coauthVersionLast="47" xr6:coauthVersionMax="47" xr10:uidLastSave="{00000000-0000-0000-0000-000000000000}"/>
  <bookViews>
    <workbookView xWindow="-120" yWindow="-120" windowWidth="29040" windowHeight="15840" activeTab="7" xr2:uid="{00000000-000D-0000-FFFF-FFFF00000000}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5" r:id="rId7"/>
    <sheet name="Planning" sheetId="156" r:id="rId8"/>
  </sheets>
  <definedNames>
    <definedName name="datDateBegin">Donnees!$C$9</definedName>
    <definedName name="ListTasks">Diagramme!$B$3:$B$28</definedName>
    <definedName name="lstTasks">Donnees!$C$20:$C$45</definedName>
    <definedName name="NbLessons">Diagramme!$C$3:$C$28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7" i="157" l="1"/>
  <c r="B25" i="157"/>
  <c r="B23" i="157"/>
  <c r="B21" i="157"/>
  <c r="B19" i="157"/>
  <c r="B17" i="157"/>
  <c r="B15" i="157"/>
  <c r="B13" i="157"/>
  <c r="B11" i="157"/>
  <c r="B9" i="157"/>
  <c r="B7" i="157"/>
  <c r="B5" i="157"/>
  <c r="C30" i="157"/>
  <c r="C29" i="157"/>
  <c r="B97" i="156"/>
  <c r="B83" i="156"/>
  <c r="B69" i="156"/>
  <c r="B55" i="156"/>
  <c r="B41" i="156"/>
  <c r="B27" i="156"/>
  <c r="B13" i="156"/>
  <c r="D115" i="155"/>
  <c r="D96" i="155"/>
  <c r="D77" i="155"/>
  <c r="D58" i="155"/>
  <c r="D39" i="155"/>
  <c r="D20" i="155"/>
  <c r="D1" i="155"/>
  <c r="B132" i="155"/>
  <c r="B113" i="155"/>
  <c r="B94" i="155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<sst xmlns="http://schemas.openxmlformats.org/spreadsheetml/2006/main" count="276" uniqueCount="95">
  <si>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</si>
  <si>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</si>
  <si>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</si>
  <si>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</si>
  <si>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</si>
  <si>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</si>
  <si>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</si>
  <si>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</si>
  <si>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</si>
  <si>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</si>
  <si>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</si>
  <si>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</si>
  <si>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</si>
  <si>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</si>
  <si>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</si>
  <si>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</si>
  <si>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</si>
  <si>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</si>
  <si>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</si>
  <si>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</si>
  <si>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</si>
  <si>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</si>
  <si>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</si>
  <si>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</si>
  <si>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P_Prod</t>
  </si>
  <si>
    <t>Quentin Métroz</t>
  </si>
  <si>
    <t>CID2A</t>
  </si>
  <si>
    <t>Vennes</t>
  </si>
  <si>
    <t>Création CDC</t>
  </si>
  <si>
    <t>Création Fichiers</t>
  </si>
  <si>
    <t>Faire Planif</t>
  </si>
  <si>
    <t>Compléter Rapport</t>
  </si>
  <si>
    <t>Mise des commentaires</t>
  </si>
  <si>
    <t>Compléter JDT</t>
  </si>
  <si>
    <t>Implémentation de méthod</t>
  </si>
  <si>
    <t>Améliorer FrontEnd</t>
  </si>
  <si>
    <t>Vacances</t>
  </si>
  <si>
    <t>Test</t>
  </si>
  <si>
    <t>Faire PowerPoint</t>
  </si>
  <si>
    <t>Livrer les livrables</t>
  </si>
  <si>
    <t>Max. 9</t>
  </si>
  <si>
    <t>STOP</t>
  </si>
  <si>
    <t>J'ai crée le Cahier des Charges pour le projet</t>
  </si>
  <si>
    <t>https://eduvaud.sharepoint.com/:w:/s/ETML_INF-GRP2C-23-24_Teams/ERc7R3TZn6xChBAEklORDRwB7oB5rQ_IBZkqCD2U_iHakg?e=MgCSLS</t>
  </si>
  <si>
    <t>Création des fichiers pour le projet</t>
  </si>
  <si>
    <t>https://eduvaud.sharepoint.com/:f:/s/ETML_INF-GRP2C-23-24_Teams/El9x3sak_1RLnvlScRFTHBwBksaUzlQ5sdK7LhsyGuh93A?e=FlVO3x</t>
  </si>
  <si>
    <t>Compléter la planification de mon projet</t>
  </si>
  <si>
    <t>Commencer à complété le rapport</t>
  </si>
  <si>
    <t>J'ai crée le cahier des charges et complété celui-ci</t>
  </si>
  <si>
    <t>Création des différents fichiers pour le projet</t>
  </si>
  <si>
    <t>Implémenté la planification pour mon projet</t>
  </si>
  <si>
    <t>Compléter le journal de travail</t>
  </si>
  <si>
    <t xml:space="preserve">Finir l'implémentation du début du rapport </t>
  </si>
  <si>
    <t>Mettre des commentaires sur le code fait le jour-même</t>
  </si>
  <si>
    <t>Vacances : Relâche</t>
  </si>
  <si>
    <t>Faire le journal de travail pour le cours</t>
  </si>
  <si>
    <t>Améliorer l'interface utilisateur pour une interface plus convivial</t>
  </si>
  <si>
    <t>Commencer le PowerPoint</t>
  </si>
  <si>
    <t>faire le journal de travail pour le cours</t>
  </si>
  <si>
    <t xml:space="preserve">Continuer le rapport  </t>
  </si>
  <si>
    <t>Finire le rapport</t>
  </si>
  <si>
    <t>Finaliser le powerPoint</t>
  </si>
  <si>
    <t>Livrer le résultat du projet</t>
  </si>
  <si>
    <t>S 1</t>
  </si>
  <si>
    <t>S 2</t>
  </si>
  <si>
    <t>S 3</t>
  </si>
  <si>
    <t>S 4</t>
  </si>
  <si>
    <t>S 5</t>
  </si>
  <si>
    <t>S 6</t>
  </si>
  <si>
    <t>S 7</t>
  </si>
  <si>
    <t>J'ai compléte les points manquant dans la partie spécification, j'ai fait la partie de planification initiale et bien commencé l'analyse</t>
  </si>
  <si>
    <t>Amélioration du frontEnd</t>
  </si>
  <si>
    <t>J'ai mis des commentaires sur le travail effectué</t>
  </si>
  <si>
    <t>J'ai rempli le journal de travail</t>
  </si>
  <si>
    <t>Améliorer le visule des pièces d'échecs, mise de couleurs pour les cases de l'échequier</t>
  </si>
  <si>
    <t>J'ai rempli le Journal de travail</t>
  </si>
  <si>
    <t>Vacances : Relâches</t>
  </si>
  <si>
    <t>J'ai implémenté la méthode HighlightMove du Cavalier</t>
  </si>
  <si>
    <t>J'ai implémenté la méthode HighlightMove pour les pions</t>
  </si>
  <si>
    <t>Implémentation de la méthode HighlightMove pour les pions</t>
  </si>
  <si>
    <t>Implémentation de la méthode HighlightMove pour les cavliers</t>
  </si>
  <si>
    <t>implémentation de la méthode HighlightMove pour les fous</t>
  </si>
  <si>
    <t>implémentation de la méthode HighlightMove pour les tours</t>
  </si>
  <si>
    <t>implémentation de la méthode HighlightMove pour la dame</t>
  </si>
  <si>
    <t>Implémentation de la méthode HighlightMove pour le roi</t>
  </si>
  <si>
    <t>J'ai implémenté la méthode HighlightMove du Roi</t>
  </si>
  <si>
    <t>J'ai mis des commentaires sur les foncttions faite jusqu'à maintenat et clarifier quelques commentaires mis il y a deux semaines</t>
  </si>
  <si>
    <t>J'ai mis des commentaires sur tout le code pour avoir une meilleure explication de mon code</t>
  </si>
  <si>
    <t>J'ai commencé le powerpoint</t>
  </si>
  <si>
    <t>Maladie</t>
  </si>
  <si>
    <t>J'ai été malade</t>
  </si>
  <si>
    <t>Je fais finire le pptx</t>
  </si>
  <si>
    <t>Je vais finire le rapport</t>
  </si>
  <si>
    <t>J'ai complété le rapport</t>
  </si>
  <si>
    <t>J'ai fini le powerpoint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</si>
</sst>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2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1" fillId="0" borderId="1" xfId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0" fillId="9" borderId="36" xfId="0" applyFill="1" applyBorder="1"/>
    <xf numFmtId="0" fontId="0" fillId="9" borderId="37" xfId="0" applyFill="1" applyBorder="1"/>
    <xf numFmtId="0" fontId="0" fillId="9" borderId="38" xfId="0" applyFill="1" applyBorder="1"/>
    <xf numFmtId="0" fontId="0" fillId="9" borderId="39" xfId="0" applyFill="1" applyBorder="1"/>
    <xf numFmtId="0" fontId="0" fillId="9" borderId="40" xfId="0" applyFill="1" applyBorder="1"/>
    <xf numFmtId="0" fontId="0" fillId="9" borderId="41" xfId="0" applyFill="1" applyBorder="1"/>
    <xf numFmtId="0" fontId="0" fillId="9" borderId="42" xfId="0" applyFill="1" applyBorder="1"/>
    <xf numFmtId="0" fontId="0" fillId="9" borderId="43" xfId="0" applyFill="1" applyBorder="1"/>
    <xf numFmtId="0" fontId="0" fillId="9" borderId="44" xfId="0" applyFill="1" applyBorder="1"/>
    <xf numFmtId="0" fontId="0" fillId="9" borderId="45" xfId="0" applyFill="1" applyBorder="1"/>
    <xf numFmtId="0" fontId="18" fillId="14" borderId="29" xfId="0" applyFont="1" applyFill="1" applyBorder="1" applyAlignment="1">
      <alignment horizontal="center" vertical="center"/>
    </xf>
    <xf numFmtId="0" fontId="18" fillId="14" borderId="28" xfId="0" applyFont="1" applyFill="1" applyBorder="1" applyAlignment="1">
      <alignment horizontal="center" vertical="center"/>
    </xf>
    <xf numFmtId="0" fontId="0" fillId="10" borderId="30" xfId="0" applyFill="1" applyBorder="1"/>
    <xf numFmtId="0" fontId="0" fillId="10" borderId="34" xfId="0" applyFill="1" applyBorder="1"/>
    <xf numFmtId="0" fontId="0" fillId="10" borderId="46" xfId="0" applyFill="1" applyBorder="1"/>
    <xf numFmtId="0" fontId="0" fillId="10" borderId="10" xfId="0" applyFill="1" applyBorder="1"/>
    <xf numFmtId="0" fontId="0" fillId="10" borderId="5" xfId="0" applyFill="1" applyBorder="1"/>
    <xf numFmtId="0" fontId="0" fillId="10" borderId="11" xfId="0" applyFill="1" applyBorder="1"/>
    <xf numFmtId="0" fontId="0" fillId="15" borderId="41" xfId="0" applyFill="1" applyBorder="1"/>
    <xf numFmtId="0" fontId="0" fillId="15" borderId="42" xfId="0" applyFill="1" applyBorder="1"/>
    <xf numFmtId="0" fontId="0" fillId="15" borderId="43" xfId="0" applyFill="1" applyBorder="1"/>
    <xf numFmtId="0" fontId="0" fillId="15" borderId="44" xfId="0" applyFill="1" applyBorder="1"/>
    <xf numFmtId="0" fontId="0" fillId="15" borderId="4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8" xfId="0" applyFill="1" applyBorder="1"/>
    <xf numFmtId="0" fontId="0" fillId="16" borderId="39" xfId="0" applyFill="1" applyBorder="1"/>
    <xf numFmtId="0" fontId="0" fillId="16" borderId="40" xfId="0" applyFill="1" applyBorder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1" fontId="17" fillId="6" borderId="35" xfId="0" applyNumberFormat="1" applyFont="1" applyFill="1" applyBorder="1" applyAlignment="1">
      <alignment vertical="center"/>
    </xf>
    <xf numFmtId="0" fontId="17" fillId="6" borderId="19" xfId="0" applyFont="1" applyFill="1" applyBorder="1" applyAlignment="1">
      <alignment vertical="center"/>
    </xf>
    <xf numFmtId="0" fontId="19" fillId="9" borderId="14" xfId="0" applyFont="1" applyFill="1" applyBorder="1" applyAlignment="1">
      <alignment horizontal="center" vertical="center"/>
    </xf>
    <xf numFmtId="0" fontId="19" fillId="9" borderId="12" xfId="0" applyFont="1" applyFill="1" applyBorder="1" applyAlignment="1">
      <alignment horizontal="center" vertical="center"/>
    </xf>
    <xf numFmtId="0" fontId="19" fillId="9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17" fillId="6" borderId="35" xfId="0" applyFont="1" applyFill="1" applyBorder="1" applyAlignment="1">
      <alignment vertical="center"/>
    </xf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12700</xdr:colOff>
      <xdr:row>1</xdr:row>
      <xdr:rowOff>165100</xdr:rowOff>
    </xdr:from>
    <xdr:to>
      <xdr:col>6</xdr:col>
      <xdr:colOff>76200</xdr:colOff>
      <xdr:row>3</xdr:row>
      <xdr:rowOff>203200</xdr:rowOff>
    </xdr:to>
    <xdr:sp macro="" textlink="">
      <xdr:nvSpPr>
        <xdr:cNvPr id="15362" name="btnCreateDiagram" hidden="1">
          <a:extLst>
            <a:ext uri="{63B3BB69-23CF-44E3-9099-C40C66FF867C}">
              <a14:compatExt xmlns:a14="http://schemas.microsoft.com/office/drawing/2010/main" spid="_x0000_s15362"/>
            </a:ext>
            <a:ext uri="{FF2B5EF4-FFF2-40B4-BE49-F238E27FC236}">
              <a16:creationId xmlns:a16="http://schemas.microsoft.com/office/drawing/2014/main" id="{00000000-0008-0000-0000-0000023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12700</xdr:colOff>
      <xdr:row>5</xdr:row>
      <xdr:rowOff>12700</xdr:rowOff>
    </xdr:from>
    <xdr:to>
      <xdr:col>6</xdr:col>
      <xdr:colOff>101600</xdr:colOff>
      <xdr:row>7</xdr:row>
      <xdr:rowOff>50800</xdr:rowOff>
    </xdr:to>
    <xdr:sp macro="" textlink="">
      <xdr:nvSpPr>
        <xdr:cNvPr id="15364" name="btnCreatePlanning" hidden="1">
          <a:extLst>
            <a:ext uri="{63B3BB69-23CF-44E3-9099-C40C66FF867C}">
              <a14:compatExt xmlns:a14="http://schemas.microsoft.com/office/drawing/2010/main" spid="_x0000_s15364"/>
            </a:ext>
            <a:ext uri="{FF2B5EF4-FFF2-40B4-BE49-F238E27FC236}">
              <a16:creationId xmlns:a16="http://schemas.microsoft.com/office/drawing/2014/main" id="{00000000-0008-0000-0000-0000043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12700</xdr:colOff>
      <xdr:row>8</xdr:row>
      <xdr:rowOff>190500</xdr:rowOff>
    </xdr:from>
    <xdr:to>
      <xdr:col>6</xdr:col>
      <xdr:colOff>114300</xdr:colOff>
      <xdr:row>10</xdr:row>
      <xdr:rowOff>152400</xdr:rowOff>
    </xdr:to>
    <xdr:sp macro="" textlink="">
      <xdr:nvSpPr>
        <xdr:cNvPr id="15365" name="btnCreateWorkSheet" hidden="1">
          <a:extLst>
            <a:ext uri="{63B3BB69-23CF-44E3-9099-C40C66FF867C}">
              <a14:compatExt xmlns:a14="http://schemas.microsoft.com/office/drawing/2010/main" spid="_x0000_s15365"/>
            </a:ext>
            <a:ext uri="{FF2B5EF4-FFF2-40B4-BE49-F238E27FC236}">
              <a16:creationId xmlns:a16="http://schemas.microsoft.com/office/drawing/2014/main" id="{00000000-0008-0000-0000-0000053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12700</xdr:colOff>
      <xdr:row>1</xdr:row>
      <xdr:rowOff>165100</xdr:rowOff>
    </xdr:from>
    <xdr:to>
      <xdr:col>6</xdr:col>
      <xdr:colOff>76200</xdr:colOff>
      <xdr:row>3</xdr:row>
      <xdr:rowOff>203200</xdr:rowOff>
    </xdr:to>
    <xdr:pic>
      <xdr:nvPicPr>
        <xdr:cNvPr id="2" name="btnCreateDiagram">
          <a:extLst>
            <a:ext uri="{FF2B5EF4-FFF2-40B4-BE49-F238E27FC236}">
              <a16:creationId xmlns:a16="http://schemas.microsoft.com/office/drawing/2014/main" id="{89053917-3B8C-DB80-ED5D-806879871FE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84100" y="330200"/>
          <a:ext cx="18161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12700</xdr:colOff>
      <xdr:row>5</xdr:row>
      <xdr:rowOff>12700</xdr:rowOff>
    </xdr:from>
    <xdr:to>
      <xdr:col>6</xdr:col>
      <xdr:colOff>101600</xdr:colOff>
      <xdr:row>7</xdr:row>
      <xdr:rowOff>50800</xdr:rowOff>
    </xdr:to>
    <xdr:pic>
      <xdr:nvPicPr>
        <xdr:cNvPr id="3" name="btnCreatePlanning">
          <a:extLst>
            <a:ext uri="{FF2B5EF4-FFF2-40B4-BE49-F238E27FC236}">
              <a16:creationId xmlns:a16="http://schemas.microsoft.com/office/drawing/2014/main" id="{837F795C-E327-F53A-7CEA-99045D4FFF1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84100" y="1155700"/>
          <a:ext cx="18415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12700</xdr:colOff>
      <xdr:row>8</xdr:row>
      <xdr:rowOff>190500</xdr:rowOff>
    </xdr:from>
    <xdr:to>
      <xdr:col>6</xdr:col>
      <xdr:colOff>114300</xdr:colOff>
      <xdr:row>10</xdr:row>
      <xdr:rowOff>152400</xdr:rowOff>
    </xdr:to>
    <xdr:pic>
      <xdr:nvPicPr>
        <xdr:cNvPr id="4" name="btnCreateWorkSheet">
          <a:extLst>
            <a:ext uri="{FF2B5EF4-FFF2-40B4-BE49-F238E27FC236}">
              <a16:creationId xmlns:a16="http://schemas.microsoft.com/office/drawing/2014/main" id="{8585B531-1528-AA26-AEC4-54446BF970D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84100" y="1955800"/>
          <a:ext cx="18542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596900</xdr:colOff>
      <xdr:row>0</xdr:row>
      <xdr:rowOff>177800</xdr:rowOff>
    </xdr:from>
    <xdr:to>
      <xdr:col>7</xdr:col>
      <xdr:colOff>254000</xdr:colOff>
      <xdr:row>2</xdr:row>
      <xdr:rowOff>152400</xdr:rowOff>
    </xdr:to>
    <xdr:sp macro="" textlink="">
      <xdr:nvSpPr>
        <xdr:cNvPr id="18438" name="btnImportPlanification" hidden="1">
          <a:extLst>
            <a:ext uri="{63B3BB69-23CF-44E3-9099-C40C66FF867C}">
              <a14:compatExt xmlns:a14="http://schemas.microsoft.com/office/drawing/2010/main" spid="_x0000_s18438"/>
            </a:ext>
            <a:ext uri="{FF2B5EF4-FFF2-40B4-BE49-F238E27FC236}">
              <a16:creationId xmlns:a16="http://schemas.microsoft.com/office/drawing/2014/main" id="{00000000-0008-0000-0400-0000064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596900</xdr:colOff>
      <xdr:row>0</xdr:row>
      <xdr:rowOff>177800</xdr:rowOff>
    </xdr:from>
    <xdr:to>
      <xdr:col>7</xdr:col>
      <xdr:colOff>254000</xdr:colOff>
      <xdr:row>2</xdr:row>
      <xdr:rowOff>152400</xdr:rowOff>
    </xdr:to>
    <xdr:pic>
      <xdr:nvPicPr>
        <xdr:cNvPr id="2" name="btnImportPlanification">
          <a:extLst>
            <a:ext uri="{FF2B5EF4-FFF2-40B4-BE49-F238E27FC236}">
              <a16:creationId xmlns:a16="http://schemas.microsoft.com/office/drawing/2014/main" id="{61AD212C-AFC1-E243-395C-99458D02BED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77800" y="177800"/>
          <a:ext cx="2286000" cy="558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596900</xdr:colOff>
      <xdr:row>0</xdr:row>
      <xdr:rowOff>177800</xdr:rowOff>
    </xdr:from>
    <xdr:to>
      <xdr:col>7</xdr:col>
      <xdr:colOff>254000</xdr:colOff>
      <xdr:row>2</xdr:row>
      <xdr:rowOff>152400</xdr:rowOff>
    </xdr:to>
    <xdr:sp macro="" textlink="">
      <xdr:nvSpPr>
        <xdr:cNvPr id="38913" name="btnImportRealisation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500-0000019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596900</xdr:colOff>
      <xdr:row>0</xdr:row>
      <xdr:rowOff>177800</xdr:rowOff>
    </xdr:from>
    <xdr:to>
      <xdr:col>7</xdr:col>
      <xdr:colOff>254000</xdr:colOff>
      <xdr:row>2</xdr:row>
      <xdr:rowOff>152400</xdr:rowOff>
    </xdr:to>
    <xdr:pic>
      <xdr:nvPicPr>
        <xdr:cNvPr id="2" name="btnImportRealisation">
          <a:extLst>
            <a:ext uri="{FF2B5EF4-FFF2-40B4-BE49-F238E27FC236}">
              <a16:creationId xmlns:a16="http://schemas.microsoft.com/office/drawing/2014/main" id="{159BD699-79B9-721B-C9D9-CF456B3B1AC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77800" y="177800"/>
          <a:ext cx="2286000" cy="558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596900</xdr:colOff>
      <xdr:row>0</xdr:row>
      <xdr:rowOff>177800</xdr:rowOff>
    </xdr:from>
    <xdr:to>
      <xdr:col>7</xdr:col>
      <xdr:colOff>254000</xdr:colOff>
      <xdr:row>2</xdr:row>
      <xdr:rowOff>152400</xdr:rowOff>
    </xdr:to>
    <xdr:sp macro="" textlink="">
      <xdr:nvSpPr>
        <xdr:cNvPr id="39937" name="btnImportRealisation" hidden="1">
          <a:extLst>
            <a:ext uri="{63B3BB69-23CF-44E3-9099-C40C66FF867C}">
              <a14:compatExt xmlns:a14="http://schemas.microsoft.com/office/drawing/2010/main" spid="_x0000_s39937"/>
            </a:ext>
            <a:ext uri="{FF2B5EF4-FFF2-40B4-BE49-F238E27FC236}">
              <a16:creationId xmlns:a16="http://schemas.microsoft.com/office/drawing/2014/main" id="{00000000-0008-0000-0600-0000019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596900</xdr:colOff>
      <xdr:row>0</xdr:row>
      <xdr:rowOff>177800</xdr:rowOff>
    </xdr:from>
    <xdr:to>
      <xdr:col>7</xdr:col>
      <xdr:colOff>254000</xdr:colOff>
      <xdr:row>2</xdr:row>
      <xdr:rowOff>152400</xdr:rowOff>
    </xdr:to>
    <xdr:pic>
      <xdr:nvPicPr>
        <xdr:cNvPr id="2" name="btnImportRealisation">
          <a:extLst>
            <a:ext uri="{FF2B5EF4-FFF2-40B4-BE49-F238E27FC236}">
              <a16:creationId xmlns:a16="http://schemas.microsoft.com/office/drawing/2014/main" id="{3668E2C9-6A19-97F5-6EAF-8CF68E7997D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77800" y="177800"/>
          <a:ext cx="2286000" cy="558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596900</xdr:colOff>
      <xdr:row>0</xdr:row>
      <xdr:rowOff>177800</xdr:rowOff>
    </xdr:from>
    <xdr:to>
      <xdr:col>7</xdr:col>
      <xdr:colOff>254000</xdr:colOff>
      <xdr:row>2</xdr:row>
      <xdr:rowOff>152400</xdr:rowOff>
    </xdr:to>
    <xdr:sp macro="" textlink="">
      <xdr:nvSpPr>
        <xdr:cNvPr id="40961" name="btnImportPlanification" hidden="1">
          <a:extLst>
            <a:ext uri="{63B3BB69-23CF-44E3-9099-C40C66FF867C}">
              <a14:compatExt xmlns:a14="http://schemas.microsoft.com/office/drawing/2010/main" spid="_x0000_s40961"/>
            </a:ext>
            <a:ext uri="{FF2B5EF4-FFF2-40B4-BE49-F238E27FC236}">
              <a16:creationId xmlns:a16="http://schemas.microsoft.com/office/drawing/2014/main" id="{00000000-0008-0000-0700-000001A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596900</xdr:colOff>
      <xdr:row>0</xdr:row>
      <xdr:rowOff>177800</xdr:rowOff>
    </xdr:from>
    <xdr:to>
      <xdr:col>7</xdr:col>
      <xdr:colOff>254000</xdr:colOff>
      <xdr:row>2</xdr:row>
      <xdr:rowOff>152400</xdr:rowOff>
    </xdr:to>
    <xdr:pic>
      <xdr:nvPicPr>
        <xdr:cNvPr id="2" name="btnImportPlanification">
          <a:extLst>
            <a:ext uri="{FF2B5EF4-FFF2-40B4-BE49-F238E27FC236}">
              <a16:creationId xmlns:a16="http://schemas.microsoft.com/office/drawing/2014/main" id="{3F9C0CA6-3F3E-57E0-9094-FB50009980D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77800" y="177800"/>
          <a:ext cx="2286000" cy="558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eduvaud.sharepoint.com/:f:/s/ETML_INF-GRP2C-23-24_Teams/El9x3sak_1RLnvlScRFTHBwBksaUzlQ5sdK7LhsyGuh93A?e=FlVO3x" TargetMode="External"/><Relationship Id="rId1" Type="http://schemas.openxmlformats.org/officeDocument/2006/relationships/hyperlink" Target="https://eduvaud.sharepoint.com/:w:/s/ETML_INF-GRP2C-23-24_Teams/ERc7R3TZn6xChBAEklORDRwB7oB5rQ_IBZkqCD2U_iHakg?e=MgCSLS" TargetMode="External"/><Relationship Id="rId4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E14" sqref="E14"/>
    </sheetView>
  </sheetViews>
  <sheetFormatPr baseColWidth="10" defaultColWidth="11.42578125" defaultRowHeight="13.5" x14ac:dyDescent="0.25"/>
  <cols>
    <col min="1" max="1" width="16.42578125" style="57" customWidth="1"/>
    <col min="2" max="2" width="55.140625" style="57" customWidth="1"/>
    <col min="3" max="3" width="88.42578125" style="57" customWidth="1"/>
    <col min="4" max="4" width="3.42578125" style="57" customWidth="1"/>
    <col min="5" max="6" width="11.42578125" style="57"/>
    <col min="7" max="7" width="3.28515625" style="57" customWidth="1"/>
    <col min="8" max="16384" width="11.42578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45321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45363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7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21" t="s">
        <v>19</v>
      </c>
      <c r="C19" s="122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28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29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30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31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32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33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34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 t="s">
        <v>35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 t="s">
        <v>36</v>
      </c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 t="s">
        <v>37</v>
      </c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 t="s">
        <v>38</v>
      </c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 t="s">
        <v>39</v>
      </c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 t="s">
        <v>89</v>
      </c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5A233-ED90-4B2C-9E88-517D8B1E6022}">
  <sheetPr codeName="Feuil7"/>
  <dimension ref="A1:BN30"/>
  <sheetViews>
    <sheetView zoomScale="90" zoomScaleNormal="90" workbookViewId="0">
      <selection activeCell="B1" sqref="B1"/>
    </sheetView>
  </sheetViews>
  <sheetFormatPr baseColWidth="10" defaultColWidth="1.42578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42578125" style="20"/>
  </cols>
  <sheetData>
    <row r="1" spans="1:66" ht="14.25" thickBot="1" x14ac:dyDescent="0.3">
      <c r="B1" s="21"/>
      <c r="C1" s="21"/>
    </row>
    <row r="2" spans="1:66" ht="42.75" customHeight="1" thickBot="1" x14ac:dyDescent="0.3">
      <c r="A2" s="19"/>
      <c r="B2" s="23" t="s">
        <v>5</v>
      </c>
      <c r="C2" s="15" t="s">
        <v>18</v>
      </c>
      <c r="D2" s="125" t="s">
        <v>63</v>
      </c>
      <c r="E2" s="126"/>
      <c r="F2" s="126"/>
      <c r="G2" s="126"/>
      <c r="H2" s="126"/>
      <c r="I2" s="126"/>
      <c r="J2" s="126"/>
      <c r="K2" s="126"/>
      <c r="L2" s="127"/>
      <c r="M2" s="125" t="s">
        <v>64</v>
      </c>
      <c r="N2" s="126"/>
      <c r="O2" s="126"/>
      <c r="P2" s="126"/>
      <c r="Q2" s="126"/>
      <c r="R2" s="126"/>
      <c r="S2" s="126"/>
      <c r="T2" s="126"/>
      <c r="U2" s="127"/>
      <c r="V2" s="125" t="s">
        <v>65</v>
      </c>
      <c r="W2" s="126"/>
      <c r="X2" s="126"/>
      <c r="Y2" s="126"/>
      <c r="Z2" s="126"/>
      <c r="AA2" s="126"/>
      <c r="AB2" s="126"/>
      <c r="AC2" s="126"/>
      <c r="AD2" s="127"/>
      <c r="AE2" s="125" t="s">
        <v>66</v>
      </c>
      <c r="AF2" s="126"/>
      <c r="AG2" s="126"/>
      <c r="AH2" s="126"/>
      <c r="AI2" s="126"/>
      <c r="AJ2" s="126"/>
      <c r="AK2" s="126"/>
      <c r="AL2" s="126"/>
      <c r="AM2" s="127"/>
      <c r="AN2" s="125" t="s">
        <v>67</v>
      </c>
      <c r="AO2" s="126"/>
      <c r="AP2" s="126"/>
      <c r="AQ2" s="126"/>
      <c r="AR2" s="126"/>
      <c r="AS2" s="126"/>
      <c r="AT2" s="126"/>
      <c r="AU2" s="126"/>
      <c r="AV2" s="127"/>
      <c r="AW2" s="125" t="s">
        <v>68</v>
      </c>
      <c r="AX2" s="126"/>
      <c r="AY2" s="126"/>
      <c r="AZ2" s="126"/>
      <c r="BA2" s="126"/>
      <c r="BB2" s="126"/>
      <c r="BC2" s="126"/>
      <c r="BD2" s="126"/>
      <c r="BE2" s="127"/>
      <c r="BF2" s="125" t="s">
        <v>69</v>
      </c>
      <c r="BG2" s="126"/>
      <c r="BH2" s="126"/>
      <c r="BI2" s="126"/>
      <c r="BJ2" s="126"/>
      <c r="BK2" s="126"/>
      <c r="BL2" s="126"/>
      <c r="BM2" s="126"/>
      <c r="BN2" s="127"/>
    </row>
    <row r="3" spans="1:66" ht="19.5" customHeight="1" x14ac:dyDescent="0.25">
      <c r="A3" s="19"/>
      <c r="B3" s="128" t="s">
        <v>21</v>
      </c>
      <c r="C3" s="16">
        <v>0</v>
      </c>
      <c r="D3" s="93"/>
      <c r="E3" s="94"/>
      <c r="F3" s="95"/>
      <c r="G3" s="96"/>
      <c r="H3" s="94"/>
      <c r="I3" s="95"/>
      <c r="J3" s="96"/>
      <c r="K3" s="94"/>
      <c r="L3" s="97"/>
      <c r="M3" s="93"/>
      <c r="N3" s="94"/>
      <c r="O3" s="95"/>
      <c r="P3" s="96"/>
      <c r="Q3" s="94"/>
      <c r="R3" s="95"/>
      <c r="S3" s="96"/>
      <c r="T3" s="94"/>
      <c r="U3" s="97"/>
      <c r="V3" s="93"/>
      <c r="W3" s="94"/>
      <c r="X3" s="95"/>
      <c r="Y3" s="96"/>
      <c r="Z3" s="94"/>
      <c r="AA3" s="95"/>
      <c r="AB3" s="96"/>
      <c r="AC3" s="94"/>
      <c r="AD3" s="97"/>
      <c r="AE3" s="93"/>
      <c r="AF3" s="94"/>
      <c r="AG3" s="95"/>
      <c r="AH3" s="96"/>
      <c r="AI3" s="94"/>
      <c r="AJ3" s="95"/>
      <c r="AK3" s="96"/>
      <c r="AL3" s="94"/>
      <c r="AM3" s="97"/>
      <c r="AN3" s="93"/>
      <c r="AO3" s="94"/>
      <c r="AP3" s="95"/>
      <c r="AQ3" s="96"/>
      <c r="AR3" s="94"/>
      <c r="AS3" s="95"/>
      <c r="AT3" s="96"/>
      <c r="AU3" s="94"/>
      <c r="AV3" s="97"/>
      <c r="AW3" s="93"/>
      <c r="AX3" s="94"/>
      <c r="AY3" s="95"/>
      <c r="AZ3" s="96"/>
      <c r="BA3" s="94"/>
      <c r="BB3" s="95"/>
      <c r="BC3" s="96"/>
      <c r="BD3" s="94"/>
      <c r="BE3" s="97"/>
      <c r="BF3" s="93"/>
      <c r="BG3" s="94"/>
      <c r="BH3" s="95"/>
      <c r="BI3" s="96"/>
      <c r="BJ3" s="94"/>
      <c r="BK3" s="95"/>
      <c r="BL3" s="96"/>
      <c r="BM3" s="94"/>
      <c r="BN3" s="97"/>
    </row>
    <row r="4" spans="1:66" ht="19.5" customHeight="1" thickBot="1" x14ac:dyDescent="0.3">
      <c r="A4" s="19"/>
      <c r="B4" s="129"/>
      <c r="C4" s="22">
        <v>0</v>
      </c>
      <c r="D4" s="98"/>
      <c r="E4" s="99"/>
      <c r="F4" s="100"/>
      <c r="G4" s="101"/>
      <c r="H4" s="99"/>
      <c r="I4" s="100"/>
      <c r="J4" s="101"/>
      <c r="K4" s="99"/>
      <c r="L4" s="102"/>
      <c r="M4" s="98"/>
      <c r="N4" s="99"/>
      <c r="O4" s="100"/>
      <c r="P4" s="101"/>
      <c r="Q4" s="99"/>
      <c r="R4" s="100"/>
      <c r="S4" s="101"/>
      <c r="T4" s="99"/>
      <c r="U4" s="102"/>
      <c r="V4" s="98"/>
      <c r="W4" s="99"/>
      <c r="X4" s="100"/>
      <c r="Y4" s="101"/>
      <c r="Z4" s="99"/>
      <c r="AA4" s="100"/>
      <c r="AB4" s="101"/>
      <c r="AC4" s="99"/>
      <c r="AD4" s="102"/>
      <c r="AE4" s="98"/>
      <c r="AF4" s="99"/>
      <c r="AG4" s="100"/>
      <c r="AH4" s="101"/>
      <c r="AI4" s="99"/>
      <c r="AJ4" s="100"/>
      <c r="AK4" s="101"/>
      <c r="AL4" s="99"/>
      <c r="AM4" s="102"/>
      <c r="AN4" s="98"/>
      <c r="AO4" s="99"/>
      <c r="AP4" s="100"/>
      <c r="AQ4" s="101"/>
      <c r="AR4" s="99"/>
      <c r="AS4" s="100"/>
      <c r="AT4" s="101"/>
      <c r="AU4" s="99"/>
      <c r="AV4" s="102"/>
      <c r="AW4" s="98"/>
      <c r="AX4" s="99"/>
      <c r="AY4" s="100"/>
      <c r="AZ4" s="101"/>
      <c r="BA4" s="99"/>
      <c r="BB4" s="100"/>
      <c r="BC4" s="101"/>
      <c r="BD4" s="99"/>
      <c r="BE4" s="102"/>
      <c r="BF4" s="98"/>
      <c r="BG4" s="99"/>
      <c r="BH4" s="100"/>
      <c r="BI4" s="101"/>
      <c r="BJ4" s="99"/>
      <c r="BK4" s="100"/>
      <c r="BL4" s="101"/>
      <c r="BM4" s="99"/>
      <c r="BN4" s="102"/>
    </row>
    <row r="5" spans="1:66" ht="19.5" customHeight="1" x14ac:dyDescent="0.25">
      <c r="B5" s="130" t="str">
        <f>Donnees!$C$21</f>
        <v>Création CDC</v>
      </c>
      <c r="C5" s="103">
        <v>3</v>
      </c>
      <c r="D5" s="116"/>
      <c r="E5" s="117"/>
      <c r="F5" s="118"/>
      <c r="G5" s="96"/>
      <c r="H5" s="94"/>
      <c r="I5" s="95"/>
      <c r="J5" s="96"/>
      <c r="K5" s="94"/>
      <c r="L5" s="97"/>
      <c r="M5" s="93"/>
      <c r="N5" s="94"/>
      <c r="O5" s="95"/>
      <c r="P5" s="96"/>
      <c r="Q5" s="94"/>
      <c r="R5" s="95"/>
      <c r="S5" s="96"/>
      <c r="T5" s="94"/>
      <c r="U5" s="97"/>
      <c r="V5" s="93"/>
      <c r="W5" s="94"/>
      <c r="X5" s="95"/>
      <c r="Y5" s="96"/>
      <c r="Z5" s="94"/>
      <c r="AA5" s="95"/>
      <c r="AB5" s="96"/>
      <c r="AC5" s="94"/>
      <c r="AD5" s="97"/>
      <c r="AE5" s="93"/>
      <c r="AF5" s="94"/>
      <c r="AG5" s="95"/>
      <c r="AH5" s="96"/>
      <c r="AI5" s="94"/>
      <c r="AJ5" s="95"/>
      <c r="AK5" s="96"/>
      <c r="AL5" s="94"/>
      <c r="AM5" s="97"/>
      <c r="AN5" s="93"/>
      <c r="AO5" s="94"/>
      <c r="AP5" s="95"/>
      <c r="AQ5" s="96"/>
      <c r="AR5" s="94"/>
      <c r="AS5" s="95"/>
      <c r="AT5" s="96"/>
      <c r="AU5" s="94"/>
      <c r="AV5" s="97"/>
      <c r="AW5" s="93"/>
      <c r="AX5" s="94"/>
      <c r="AY5" s="95"/>
      <c r="AZ5" s="96"/>
      <c r="BA5" s="94"/>
      <c r="BB5" s="95"/>
      <c r="BC5" s="96"/>
      <c r="BD5" s="94"/>
      <c r="BE5" s="97"/>
      <c r="BF5" s="93"/>
      <c r="BG5" s="94"/>
      <c r="BH5" s="95"/>
      <c r="BI5" s="96"/>
      <c r="BJ5" s="94"/>
      <c r="BK5" s="95"/>
      <c r="BL5" s="96"/>
      <c r="BM5" s="94"/>
      <c r="BN5" s="97"/>
    </row>
    <row r="6" spans="1:66" ht="19.5" customHeight="1" thickBot="1" x14ac:dyDescent="0.3">
      <c r="B6" s="124"/>
      <c r="C6" s="104">
        <v>3</v>
      </c>
      <c r="D6" s="111"/>
      <c r="E6" s="112"/>
      <c r="F6" s="113"/>
      <c r="G6" s="101"/>
      <c r="H6" s="99"/>
      <c r="I6" s="100"/>
      <c r="J6" s="101"/>
      <c r="K6" s="99"/>
      <c r="L6" s="102"/>
      <c r="M6" s="98"/>
      <c r="N6" s="99"/>
      <c r="O6" s="100"/>
      <c r="P6" s="101"/>
      <c r="Q6" s="99"/>
      <c r="R6" s="100"/>
      <c r="S6" s="101"/>
      <c r="T6" s="99"/>
      <c r="U6" s="102"/>
      <c r="V6" s="98"/>
      <c r="W6" s="99"/>
      <c r="X6" s="100"/>
      <c r="Y6" s="101"/>
      <c r="Z6" s="99"/>
      <c r="AA6" s="100"/>
      <c r="AB6" s="101"/>
      <c r="AC6" s="99"/>
      <c r="AD6" s="102"/>
      <c r="AE6" s="98"/>
      <c r="AF6" s="99"/>
      <c r="AG6" s="100"/>
      <c r="AH6" s="101"/>
      <c r="AI6" s="99"/>
      <c r="AJ6" s="100"/>
      <c r="AK6" s="101"/>
      <c r="AL6" s="99"/>
      <c r="AM6" s="102"/>
      <c r="AN6" s="98"/>
      <c r="AO6" s="99"/>
      <c r="AP6" s="100"/>
      <c r="AQ6" s="101"/>
      <c r="AR6" s="99"/>
      <c r="AS6" s="100"/>
      <c r="AT6" s="101"/>
      <c r="AU6" s="99"/>
      <c r="AV6" s="102"/>
      <c r="AW6" s="98"/>
      <c r="AX6" s="99"/>
      <c r="AY6" s="100"/>
      <c r="AZ6" s="101"/>
      <c r="BA6" s="99"/>
      <c r="BB6" s="100"/>
      <c r="BC6" s="101"/>
      <c r="BD6" s="99"/>
      <c r="BE6" s="102"/>
      <c r="BF6" s="98"/>
      <c r="BG6" s="99"/>
      <c r="BH6" s="100"/>
      <c r="BI6" s="101"/>
      <c r="BJ6" s="99"/>
      <c r="BK6" s="100"/>
      <c r="BL6" s="101"/>
      <c r="BM6" s="99"/>
      <c r="BN6" s="102"/>
    </row>
    <row r="7" spans="1:66" ht="19.5" customHeight="1" x14ac:dyDescent="0.25">
      <c r="B7" s="123" t="str">
        <f>Donnees!$C$22</f>
        <v>Création Fichiers</v>
      </c>
      <c r="C7" s="103">
        <v>1</v>
      </c>
      <c r="D7" s="93"/>
      <c r="E7" s="94"/>
      <c r="F7" s="95"/>
      <c r="G7" s="119"/>
      <c r="H7" s="94"/>
      <c r="I7" s="95"/>
      <c r="J7" s="96"/>
      <c r="K7" s="94"/>
      <c r="L7" s="97"/>
      <c r="M7" s="93"/>
      <c r="N7" s="94"/>
      <c r="O7" s="95"/>
      <c r="P7" s="96"/>
      <c r="Q7" s="94"/>
      <c r="R7" s="95"/>
      <c r="S7" s="96"/>
      <c r="T7" s="94"/>
      <c r="U7" s="97"/>
      <c r="V7" s="93"/>
      <c r="W7" s="94"/>
      <c r="X7" s="95"/>
      <c r="Y7" s="96"/>
      <c r="Z7" s="94"/>
      <c r="AA7" s="95"/>
      <c r="AB7" s="96"/>
      <c r="AC7" s="94"/>
      <c r="AD7" s="97"/>
      <c r="AE7" s="93"/>
      <c r="AF7" s="94"/>
      <c r="AG7" s="95"/>
      <c r="AH7" s="96"/>
      <c r="AI7" s="94"/>
      <c r="AJ7" s="95"/>
      <c r="AK7" s="96"/>
      <c r="AL7" s="94"/>
      <c r="AM7" s="97"/>
      <c r="AN7" s="93"/>
      <c r="AO7" s="94"/>
      <c r="AP7" s="95"/>
      <c r="AQ7" s="96"/>
      <c r="AR7" s="94"/>
      <c r="AS7" s="95"/>
      <c r="AT7" s="96"/>
      <c r="AU7" s="94"/>
      <c r="AV7" s="97"/>
      <c r="AW7" s="93"/>
      <c r="AX7" s="94"/>
      <c r="AY7" s="95"/>
      <c r="AZ7" s="96"/>
      <c r="BA7" s="94"/>
      <c r="BB7" s="95"/>
      <c r="BC7" s="96"/>
      <c r="BD7" s="94"/>
      <c r="BE7" s="97"/>
      <c r="BF7" s="93"/>
      <c r="BG7" s="94"/>
      <c r="BH7" s="95"/>
      <c r="BI7" s="96"/>
      <c r="BJ7" s="94"/>
      <c r="BK7" s="95"/>
      <c r="BL7" s="96"/>
      <c r="BM7" s="94"/>
      <c r="BN7" s="97"/>
    </row>
    <row r="8" spans="1:66" ht="19.5" customHeight="1" thickBot="1" x14ac:dyDescent="0.3">
      <c r="B8" s="124"/>
      <c r="C8" s="104">
        <v>1</v>
      </c>
      <c r="D8" s="98"/>
      <c r="E8" s="99"/>
      <c r="F8" s="100"/>
      <c r="G8" s="114"/>
      <c r="H8" s="99"/>
      <c r="I8" s="100"/>
      <c r="J8" s="101"/>
      <c r="K8" s="99"/>
      <c r="L8" s="102"/>
      <c r="M8" s="98"/>
      <c r="N8" s="99"/>
      <c r="O8" s="100"/>
      <c r="P8" s="101"/>
      <c r="Q8" s="99"/>
      <c r="R8" s="100"/>
      <c r="S8" s="101"/>
      <c r="T8" s="99"/>
      <c r="U8" s="102"/>
      <c r="V8" s="98"/>
      <c r="W8" s="99"/>
      <c r="X8" s="100"/>
      <c r="Y8" s="101"/>
      <c r="Z8" s="99"/>
      <c r="AA8" s="100"/>
      <c r="AB8" s="101"/>
      <c r="AC8" s="99"/>
      <c r="AD8" s="102"/>
      <c r="AE8" s="98"/>
      <c r="AF8" s="99"/>
      <c r="AG8" s="100"/>
      <c r="AH8" s="101"/>
      <c r="AI8" s="99"/>
      <c r="AJ8" s="100"/>
      <c r="AK8" s="101"/>
      <c r="AL8" s="99"/>
      <c r="AM8" s="102"/>
      <c r="AN8" s="98"/>
      <c r="AO8" s="99"/>
      <c r="AP8" s="100"/>
      <c r="AQ8" s="101"/>
      <c r="AR8" s="99"/>
      <c r="AS8" s="100"/>
      <c r="AT8" s="101"/>
      <c r="AU8" s="99"/>
      <c r="AV8" s="102"/>
      <c r="AW8" s="98"/>
      <c r="AX8" s="99"/>
      <c r="AY8" s="100"/>
      <c r="AZ8" s="101"/>
      <c r="BA8" s="99"/>
      <c r="BB8" s="100"/>
      <c r="BC8" s="101"/>
      <c r="BD8" s="99"/>
      <c r="BE8" s="102"/>
      <c r="BF8" s="98"/>
      <c r="BG8" s="99"/>
      <c r="BH8" s="100"/>
      <c r="BI8" s="101"/>
      <c r="BJ8" s="99"/>
      <c r="BK8" s="100"/>
      <c r="BL8" s="101"/>
      <c r="BM8" s="99"/>
      <c r="BN8" s="102"/>
    </row>
    <row r="9" spans="1:66" ht="19.5" customHeight="1" x14ac:dyDescent="0.25">
      <c r="B9" s="123" t="str">
        <f>Donnees!$C$23</f>
        <v>Faire Planif</v>
      </c>
      <c r="C9" s="103">
        <v>4</v>
      </c>
      <c r="D9" s="93"/>
      <c r="E9" s="94"/>
      <c r="F9" s="95"/>
      <c r="G9" s="96"/>
      <c r="H9" s="117"/>
      <c r="I9" s="118"/>
      <c r="J9" s="119"/>
      <c r="K9" s="117"/>
      <c r="L9" s="97"/>
      <c r="M9" s="93"/>
      <c r="N9" s="94"/>
      <c r="O9" s="95"/>
      <c r="P9" s="96"/>
      <c r="Q9" s="94"/>
      <c r="R9" s="95"/>
      <c r="S9" s="96"/>
      <c r="T9" s="94"/>
      <c r="U9" s="97"/>
      <c r="V9" s="93"/>
      <c r="W9" s="94"/>
      <c r="X9" s="95"/>
      <c r="Y9" s="96"/>
      <c r="Z9" s="94"/>
      <c r="AA9" s="95"/>
      <c r="AB9" s="96"/>
      <c r="AC9" s="94"/>
      <c r="AD9" s="97"/>
      <c r="AE9" s="93"/>
      <c r="AF9" s="94"/>
      <c r="AG9" s="95"/>
      <c r="AH9" s="96"/>
      <c r="AI9" s="94"/>
      <c r="AJ9" s="95"/>
      <c r="AK9" s="96"/>
      <c r="AL9" s="94"/>
      <c r="AM9" s="97"/>
      <c r="AN9" s="93"/>
      <c r="AO9" s="94"/>
      <c r="AP9" s="95"/>
      <c r="AQ9" s="96"/>
      <c r="AR9" s="94"/>
      <c r="AS9" s="95"/>
      <c r="AT9" s="96"/>
      <c r="AU9" s="94"/>
      <c r="AV9" s="97"/>
      <c r="AW9" s="93"/>
      <c r="AX9" s="94"/>
      <c r="AY9" s="95"/>
      <c r="AZ9" s="96"/>
      <c r="BA9" s="94"/>
      <c r="BB9" s="95"/>
      <c r="BC9" s="96"/>
      <c r="BD9" s="94"/>
      <c r="BE9" s="97"/>
      <c r="BF9" s="93"/>
      <c r="BG9" s="94"/>
      <c r="BH9" s="95"/>
      <c r="BI9" s="96"/>
      <c r="BJ9" s="94"/>
      <c r="BK9" s="95"/>
      <c r="BL9" s="96"/>
      <c r="BM9" s="94"/>
      <c r="BN9" s="97"/>
    </row>
    <row r="10" spans="1:66" ht="19.5" customHeight="1" thickBot="1" x14ac:dyDescent="0.3">
      <c r="B10" s="124"/>
      <c r="C10" s="104">
        <v>3</v>
      </c>
      <c r="D10" s="98"/>
      <c r="E10" s="99"/>
      <c r="F10" s="100"/>
      <c r="G10" s="101"/>
      <c r="H10" s="112"/>
      <c r="I10" s="113"/>
      <c r="J10" s="114"/>
      <c r="K10" s="99"/>
      <c r="L10" s="102"/>
      <c r="M10" s="98"/>
      <c r="N10" s="99"/>
      <c r="O10" s="100"/>
      <c r="P10" s="101"/>
      <c r="Q10" s="99"/>
      <c r="R10" s="100"/>
      <c r="S10" s="101"/>
      <c r="T10" s="99"/>
      <c r="U10" s="102"/>
      <c r="V10" s="98"/>
      <c r="W10" s="99"/>
      <c r="X10" s="100"/>
      <c r="Y10" s="101"/>
      <c r="Z10" s="99"/>
      <c r="AA10" s="100"/>
      <c r="AB10" s="101"/>
      <c r="AC10" s="99"/>
      <c r="AD10" s="102"/>
      <c r="AE10" s="98"/>
      <c r="AF10" s="99"/>
      <c r="AG10" s="100"/>
      <c r="AH10" s="101"/>
      <c r="AI10" s="99"/>
      <c r="AJ10" s="100"/>
      <c r="AK10" s="101"/>
      <c r="AL10" s="99"/>
      <c r="AM10" s="102"/>
      <c r="AN10" s="98"/>
      <c r="AO10" s="99"/>
      <c r="AP10" s="100"/>
      <c r="AQ10" s="101"/>
      <c r="AR10" s="99"/>
      <c r="AS10" s="100"/>
      <c r="AT10" s="101"/>
      <c r="AU10" s="99"/>
      <c r="AV10" s="102"/>
      <c r="AW10" s="98"/>
      <c r="AX10" s="99"/>
      <c r="AY10" s="100"/>
      <c r="AZ10" s="101"/>
      <c r="BA10" s="99"/>
      <c r="BB10" s="100"/>
      <c r="BC10" s="101"/>
      <c r="BD10" s="99"/>
      <c r="BE10" s="102"/>
      <c r="BF10" s="98"/>
      <c r="BG10" s="99"/>
      <c r="BH10" s="100"/>
      <c r="BI10" s="101"/>
      <c r="BJ10" s="99"/>
      <c r="BK10" s="100"/>
      <c r="BL10" s="101"/>
      <c r="BM10" s="99"/>
      <c r="BN10" s="102"/>
    </row>
    <row r="11" spans="1:66" ht="19.5" customHeight="1" x14ac:dyDescent="0.25">
      <c r="B11" s="123" t="str">
        <f>Donnees!$C$24</f>
        <v>Compléter Rapport</v>
      </c>
      <c r="C11" s="103">
        <v>9</v>
      </c>
      <c r="D11" s="93"/>
      <c r="E11" s="94"/>
      <c r="F11" s="95"/>
      <c r="G11" s="96"/>
      <c r="H11" s="94"/>
      <c r="I11" s="95"/>
      <c r="J11" s="96"/>
      <c r="K11" s="94"/>
      <c r="L11" s="97"/>
      <c r="M11" s="116"/>
      <c r="N11" s="117"/>
      <c r="O11" s="118"/>
      <c r="P11" s="119"/>
      <c r="Q11" s="117"/>
      <c r="R11" s="95"/>
      <c r="S11" s="96"/>
      <c r="T11" s="94"/>
      <c r="U11" s="97"/>
      <c r="V11" s="93"/>
      <c r="W11" s="94"/>
      <c r="X11" s="95"/>
      <c r="Y11" s="96"/>
      <c r="Z11" s="94"/>
      <c r="AA11" s="95"/>
      <c r="AB11" s="96"/>
      <c r="AC11" s="94"/>
      <c r="AD11" s="97"/>
      <c r="AE11" s="93"/>
      <c r="AF11" s="94"/>
      <c r="AG11" s="95"/>
      <c r="AH11" s="96"/>
      <c r="AI11" s="94"/>
      <c r="AJ11" s="95"/>
      <c r="AK11" s="96"/>
      <c r="AL11" s="94"/>
      <c r="AM11" s="97"/>
      <c r="AN11" s="93"/>
      <c r="AO11" s="94"/>
      <c r="AP11" s="95"/>
      <c r="AQ11" s="96"/>
      <c r="AR11" s="94"/>
      <c r="AS11" s="95"/>
      <c r="AT11" s="96"/>
      <c r="AU11" s="94"/>
      <c r="AV11" s="120"/>
      <c r="AW11" s="93"/>
      <c r="AX11" s="94"/>
      <c r="AY11" s="95"/>
      <c r="AZ11" s="96"/>
      <c r="BA11" s="94"/>
      <c r="BB11" s="95"/>
      <c r="BC11" s="96"/>
      <c r="BD11" s="94"/>
      <c r="BE11" s="97"/>
      <c r="BF11" s="116"/>
      <c r="BG11" s="117"/>
      <c r="BH11" s="118"/>
      <c r="BI11" s="96"/>
      <c r="BJ11" s="94"/>
      <c r="BK11" s="95"/>
      <c r="BL11" s="96"/>
      <c r="BM11" s="94"/>
      <c r="BN11" s="97"/>
    </row>
    <row r="12" spans="1:66" ht="19.5" customHeight="1" thickBot="1" x14ac:dyDescent="0.3">
      <c r="B12" s="124"/>
      <c r="C12" s="104">
        <v>7</v>
      </c>
      <c r="D12" s="98"/>
      <c r="E12" s="99"/>
      <c r="F12" s="100"/>
      <c r="G12" s="101"/>
      <c r="H12" s="99"/>
      <c r="I12" s="100"/>
      <c r="J12" s="101"/>
      <c r="K12" s="112"/>
      <c r="L12" s="102"/>
      <c r="M12" s="111"/>
      <c r="N12" s="112"/>
      <c r="O12" s="113"/>
      <c r="P12" s="114"/>
      <c r="Q12" s="99"/>
      <c r="R12" s="100"/>
      <c r="S12" s="101"/>
      <c r="T12" s="99"/>
      <c r="U12" s="102"/>
      <c r="V12" s="98"/>
      <c r="W12" s="99"/>
      <c r="X12" s="100"/>
      <c r="Y12" s="101"/>
      <c r="Z12" s="99"/>
      <c r="AA12" s="100"/>
      <c r="AB12" s="101"/>
      <c r="AC12" s="99"/>
      <c r="AD12" s="102"/>
      <c r="AE12" s="98"/>
      <c r="AF12" s="99"/>
      <c r="AG12" s="100"/>
      <c r="AH12" s="101"/>
      <c r="AI12" s="99"/>
      <c r="AJ12" s="100"/>
      <c r="AK12" s="114"/>
      <c r="AL12" s="112"/>
      <c r="AM12" s="102"/>
      <c r="AN12" s="98"/>
      <c r="AO12" s="99"/>
      <c r="AP12" s="100"/>
      <c r="AQ12" s="101"/>
      <c r="AR12" s="99"/>
      <c r="AS12" s="100"/>
      <c r="AT12" s="101"/>
      <c r="AU12" s="99"/>
      <c r="AV12" s="102"/>
      <c r="AW12" s="98"/>
      <c r="AX12" s="99"/>
      <c r="AY12" s="100"/>
      <c r="AZ12" s="101"/>
      <c r="BA12" s="99"/>
      <c r="BB12" s="100"/>
      <c r="BC12" s="101"/>
      <c r="BD12" s="99"/>
      <c r="BE12" s="102"/>
      <c r="BF12" s="98"/>
      <c r="BG12" s="99"/>
      <c r="BH12" s="100"/>
      <c r="BI12" s="101"/>
      <c r="BJ12" s="99"/>
      <c r="BK12" s="100"/>
      <c r="BL12" s="101"/>
      <c r="BM12" s="99"/>
      <c r="BN12" s="102"/>
    </row>
    <row r="13" spans="1:66" ht="19.5" customHeight="1" x14ac:dyDescent="0.25">
      <c r="B13" s="123" t="str">
        <f>Donnees!$C$25</f>
        <v>Mise des commentaires</v>
      </c>
      <c r="C13" s="103">
        <v>4</v>
      </c>
      <c r="D13" s="93"/>
      <c r="E13" s="94"/>
      <c r="F13" s="95"/>
      <c r="G13" s="96"/>
      <c r="H13" s="94"/>
      <c r="I13" s="95"/>
      <c r="J13" s="96"/>
      <c r="K13" s="94"/>
      <c r="L13" s="97"/>
      <c r="M13" s="93"/>
      <c r="N13" s="94"/>
      <c r="O13" s="95"/>
      <c r="P13" s="96"/>
      <c r="Q13" s="94"/>
      <c r="R13" s="95"/>
      <c r="S13" s="119"/>
      <c r="T13" s="94"/>
      <c r="U13" s="97"/>
      <c r="V13" s="93"/>
      <c r="W13" s="94"/>
      <c r="X13" s="95"/>
      <c r="Y13" s="96"/>
      <c r="Z13" s="94"/>
      <c r="AA13" s="95"/>
      <c r="AB13" s="96"/>
      <c r="AC13" s="94"/>
      <c r="AD13" s="97"/>
      <c r="AE13" s="93"/>
      <c r="AF13" s="94"/>
      <c r="AG13" s="95"/>
      <c r="AH13" s="96"/>
      <c r="AI13" s="117"/>
      <c r="AJ13" s="95"/>
      <c r="AK13" s="96"/>
      <c r="AL13" s="94"/>
      <c r="AM13" s="97"/>
      <c r="AN13" s="93"/>
      <c r="AO13" s="94"/>
      <c r="AP13" s="95"/>
      <c r="AQ13" s="96"/>
      <c r="AR13" s="94"/>
      <c r="AS13" s="95"/>
      <c r="AT13" s="119"/>
      <c r="AU13" s="94"/>
      <c r="AV13" s="97"/>
      <c r="AW13" s="93"/>
      <c r="AX13" s="94"/>
      <c r="AY13" s="95"/>
      <c r="AZ13" s="96"/>
      <c r="BA13" s="94"/>
      <c r="BB13" s="95"/>
      <c r="BC13" s="96"/>
      <c r="BD13" s="117"/>
      <c r="BE13" s="97"/>
      <c r="BF13" s="93"/>
      <c r="BG13" s="94"/>
      <c r="BH13" s="95"/>
      <c r="BI13" s="96"/>
      <c r="BJ13" s="94"/>
      <c r="BK13" s="95"/>
      <c r="BL13" s="96"/>
      <c r="BM13" s="94"/>
      <c r="BN13" s="97"/>
    </row>
    <row r="14" spans="1:66" ht="19.5" customHeight="1" thickBot="1" x14ac:dyDescent="0.3">
      <c r="B14" s="124"/>
      <c r="C14" s="104">
        <v>4</v>
      </c>
      <c r="D14" s="98"/>
      <c r="E14" s="99"/>
      <c r="F14" s="100"/>
      <c r="G14" s="101"/>
      <c r="H14" s="99"/>
      <c r="I14" s="100"/>
      <c r="J14" s="101"/>
      <c r="K14" s="99"/>
      <c r="L14" s="102"/>
      <c r="M14" s="98"/>
      <c r="N14" s="99"/>
      <c r="O14" s="100"/>
      <c r="P14" s="101"/>
      <c r="Q14" s="99"/>
      <c r="R14" s="113"/>
      <c r="S14" s="101"/>
      <c r="T14" s="99"/>
      <c r="U14" s="102"/>
      <c r="V14" s="98"/>
      <c r="W14" s="99"/>
      <c r="X14" s="100"/>
      <c r="Y14" s="101"/>
      <c r="Z14" s="99"/>
      <c r="AA14" s="100"/>
      <c r="AB14" s="101"/>
      <c r="AC14" s="99"/>
      <c r="AD14" s="102"/>
      <c r="AE14" s="98"/>
      <c r="AF14" s="99"/>
      <c r="AG14" s="100"/>
      <c r="AH14" s="101"/>
      <c r="AI14" s="99"/>
      <c r="AJ14" s="113"/>
      <c r="AK14" s="101"/>
      <c r="AL14" s="99"/>
      <c r="AM14" s="102"/>
      <c r="AN14" s="98"/>
      <c r="AO14" s="99"/>
      <c r="AP14" s="100"/>
      <c r="AQ14" s="101"/>
      <c r="AR14" s="112"/>
      <c r="AS14" s="113"/>
      <c r="AT14" s="101"/>
      <c r="AU14" s="99"/>
      <c r="AV14" s="102"/>
      <c r="AW14" s="98"/>
      <c r="AX14" s="99"/>
      <c r="AY14" s="100"/>
      <c r="AZ14" s="101"/>
      <c r="BA14" s="99"/>
      <c r="BB14" s="100"/>
      <c r="BC14" s="101"/>
      <c r="BD14" s="99"/>
      <c r="BE14" s="102"/>
      <c r="BF14" s="98"/>
      <c r="BG14" s="99"/>
      <c r="BH14" s="100"/>
      <c r="BI14" s="101"/>
      <c r="BJ14" s="99"/>
      <c r="BK14" s="100"/>
      <c r="BL14" s="101"/>
      <c r="BM14" s="99"/>
      <c r="BN14" s="102"/>
    </row>
    <row r="15" spans="1:66" ht="19.5" customHeight="1" x14ac:dyDescent="0.25">
      <c r="B15" s="123" t="str">
        <f>Donnees!$C$26</f>
        <v>Compléter JDT</v>
      </c>
      <c r="C15" s="103">
        <v>6</v>
      </c>
      <c r="D15" s="93"/>
      <c r="E15" s="94"/>
      <c r="F15" s="95"/>
      <c r="G15" s="96"/>
      <c r="H15" s="94"/>
      <c r="I15" s="95"/>
      <c r="J15" s="96"/>
      <c r="K15" s="94"/>
      <c r="L15" s="120"/>
      <c r="M15" s="93"/>
      <c r="N15" s="94"/>
      <c r="O15" s="95"/>
      <c r="P15" s="96"/>
      <c r="Q15" s="94"/>
      <c r="R15" s="95"/>
      <c r="S15" s="96"/>
      <c r="T15" s="117"/>
      <c r="U15" s="97"/>
      <c r="V15" s="93"/>
      <c r="W15" s="94"/>
      <c r="X15" s="95"/>
      <c r="Y15" s="96"/>
      <c r="Z15" s="94"/>
      <c r="AA15" s="95"/>
      <c r="AB15" s="96"/>
      <c r="AC15" s="94"/>
      <c r="AD15" s="97"/>
      <c r="AE15" s="93"/>
      <c r="AF15" s="94"/>
      <c r="AG15" s="95"/>
      <c r="AH15" s="96"/>
      <c r="AI15" s="94"/>
      <c r="AJ15" s="118"/>
      <c r="AK15" s="96"/>
      <c r="AL15" s="94"/>
      <c r="AM15" s="97"/>
      <c r="AN15" s="93"/>
      <c r="AO15" s="94"/>
      <c r="AP15" s="95"/>
      <c r="AQ15" s="96"/>
      <c r="AR15" s="94"/>
      <c r="AS15" s="95"/>
      <c r="AT15" s="96"/>
      <c r="AU15" s="117"/>
      <c r="AV15" s="97"/>
      <c r="AW15" s="93"/>
      <c r="AX15" s="94"/>
      <c r="AY15" s="95"/>
      <c r="AZ15" s="96"/>
      <c r="BA15" s="94"/>
      <c r="BB15" s="95"/>
      <c r="BC15" s="96"/>
      <c r="BD15" s="94"/>
      <c r="BE15" s="120"/>
      <c r="BF15" s="93"/>
      <c r="BG15" s="94"/>
      <c r="BH15" s="95"/>
      <c r="BI15" s="96"/>
      <c r="BJ15" s="94"/>
      <c r="BK15" s="95"/>
      <c r="BL15" s="96"/>
      <c r="BM15" s="117"/>
      <c r="BN15" s="97"/>
    </row>
    <row r="16" spans="1:66" ht="19.5" customHeight="1" thickBot="1" x14ac:dyDescent="0.3">
      <c r="A16" s="41"/>
      <c r="B16" s="124"/>
      <c r="C16" s="104">
        <v>4</v>
      </c>
      <c r="D16" s="98"/>
      <c r="E16" s="99"/>
      <c r="F16" s="100"/>
      <c r="G16" s="101"/>
      <c r="H16" s="99"/>
      <c r="I16" s="100"/>
      <c r="J16" s="101"/>
      <c r="K16" s="99"/>
      <c r="L16" s="115"/>
      <c r="M16" s="98"/>
      <c r="N16" s="99"/>
      <c r="O16" s="100"/>
      <c r="P16" s="101"/>
      <c r="Q16" s="99"/>
      <c r="R16" s="100"/>
      <c r="S16" s="101"/>
      <c r="T16" s="99"/>
      <c r="U16" s="115"/>
      <c r="V16" s="98"/>
      <c r="W16" s="99"/>
      <c r="X16" s="100"/>
      <c r="Y16" s="101"/>
      <c r="Z16" s="99"/>
      <c r="AA16" s="100"/>
      <c r="AB16" s="101"/>
      <c r="AC16" s="99"/>
      <c r="AD16" s="102"/>
      <c r="AE16" s="98"/>
      <c r="AF16" s="99"/>
      <c r="AG16" s="100"/>
      <c r="AH16" s="101"/>
      <c r="AI16" s="99"/>
      <c r="AJ16" s="100"/>
      <c r="AK16" s="101"/>
      <c r="AL16" s="99"/>
      <c r="AM16" s="115"/>
      <c r="AN16" s="98"/>
      <c r="AO16" s="99"/>
      <c r="AP16" s="100"/>
      <c r="AQ16" s="101"/>
      <c r="AR16" s="99"/>
      <c r="AS16" s="100"/>
      <c r="AT16" s="101"/>
      <c r="AU16" s="99"/>
      <c r="AV16" s="115"/>
      <c r="AW16" s="98"/>
      <c r="AX16" s="99"/>
      <c r="AY16" s="100"/>
      <c r="AZ16" s="101"/>
      <c r="BA16" s="99"/>
      <c r="BB16" s="100"/>
      <c r="BC16" s="101"/>
      <c r="BD16" s="99"/>
      <c r="BE16" s="102"/>
      <c r="BF16" s="98"/>
      <c r="BG16" s="99"/>
      <c r="BH16" s="100"/>
      <c r="BI16" s="101"/>
      <c r="BJ16" s="99"/>
      <c r="BK16" s="100"/>
      <c r="BL16" s="101"/>
      <c r="BM16" s="99"/>
      <c r="BN16" s="102"/>
    </row>
    <row r="17" spans="2:66" ht="19.5" customHeight="1" x14ac:dyDescent="0.25">
      <c r="B17" s="123" t="str">
        <f>Donnees!$C$27</f>
        <v>Implémentation de méthod</v>
      </c>
      <c r="C17" s="103">
        <v>16</v>
      </c>
      <c r="D17" s="93"/>
      <c r="E17" s="94"/>
      <c r="F17" s="95"/>
      <c r="G17" s="96"/>
      <c r="H17" s="94"/>
      <c r="I17" s="95"/>
      <c r="J17" s="96"/>
      <c r="K17" s="94"/>
      <c r="L17" s="97"/>
      <c r="M17" s="93"/>
      <c r="N17" s="94"/>
      <c r="O17" s="95"/>
      <c r="P17" s="96"/>
      <c r="Q17" s="94"/>
      <c r="R17" s="118"/>
      <c r="S17" s="96"/>
      <c r="T17" s="94"/>
      <c r="U17" s="97"/>
      <c r="V17" s="93"/>
      <c r="W17" s="94"/>
      <c r="X17" s="95"/>
      <c r="Y17" s="96"/>
      <c r="Z17" s="94"/>
      <c r="AA17" s="95"/>
      <c r="AB17" s="96"/>
      <c r="AC17" s="94"/>
      <c r="AD17" s="97"/>
      <c r="AE17" s="116"/>
      <c r="AF17" s="117"/>
      <c r="AG17" s="118"/>
      <c r="AH17" s="119"/>
      <c r="AI17" s="94"/>
      <c r="AJ17" s="95"/>
      <c r="AK17" s="96"/>
      <c r="AL17" s="94"/>
      <c r="AM17" s="97"/>
      <c r="AN17" s="116"/>
      <c r="AO17" s="117"/>
      <c r="AP17" s="118"/>
      <c r="AQ17" s="119"/>
      <c r="AR17" s="117"/>
      <c r="AS17" s="118"/>
      <c r="AT17" s="96"/>
      <c r="AU17" s="94"/>
      <c r="AV17" s="97"/>
      <c r="AW17" s="116"/>
      <c r="AX17" s="117"/>
      <c r="AY17" s="118"/>
      <c r="AZ17" s="119"/>
      <c r="BA17" s="117"/>
      <c r="BB17" s="95"/>
      <c r="BC17" s="96"/>
      <c r="BD17" s="94"/>
      <c r="BE17" s="97"/>
      <c r="BF17" s="93"/>
      <c r="BG17" s="94"/>
      <c r="BH17" s="95"/>
      <c r="BI17" s="96"/>
      <c r="BJ17" s="94"/>
      <c r="BK17" s="95"/>
      <c r="BL17" s="96"/>
      <c r="BM17" s="94"/>
      <c r="BN17" s="97"/>
    </row>
    <row r="18" spans="2:66" ht="19.5" customHeight="1" thickBot="1" x14ac:dyDescent="0.3">
      <c r="B18" s="124"/>
      <c r="C18" s="104">
        <v>10</v>
      </c>
      <c r="D18" s="98"/>
      <c r="E18" s="99"/>
      <c r="F18" s="100"/>
      <c r="G18" s="101"/>
      <c r="H18" s="99"/>
      <c r="I18" s="100"/>
      <c r="J18" s="101"/>
      <c r="K18" s="99"/>
      <c r="L18" s="102"/>
      <c r="M18" s="98"/>
      <c r="N18" s="99"/>
      <c r="O18" s="100"/>
      <c r="P18" s="101"/>
      <c r="Q18" s="112"/>
      <c r="R18" s="100"/>
      <c r="S18" s="101"/>
      <c r="T18" s="99"/>
      <c r="U18" s="102"/>
      <c r="V18" s="98"/>
      <c r="W18" s="99"/>
      <c r="X18" s="100"/>
      <c r="Y18" s="101"/>
      <c r="Z18" s="99"/>
      <c r="AA18" s="100"/>
      <c r="AB18" s="101"/>
      <c r="AC18" s="99"/>
      <c r="AD18" s="102"/>
      <c r="AE18" s="111"/>
      <c r="AF18" s="112"/>
      <c r="AG18" s="113"/>
      <c r="AH18" s="114"/>
      <c r="AI18" s="112"/>
      <c r="AJ18" s="100"/>
      <c r="AK18" s="101"/>
      <c r="AL18" s="99"/>
      <c r="AM18" s="102"/>
      <c r="AN18" s="111"/>
      <c r="AO18" s="112"/>
      <c r="AP18" s="113"/>
      <c r="AQ18" s="114"/>
      <c r="AR18" s="99"/>
      <c r="AS18" s="100"/>
      <c r="AT18" s="101"/>
      <c r="AU18" s="99"/>
      <c r="AV18" s="102"/>
      <c r="AW18" s="98"/>
      <c r="AX18" s="99"/>
      <c r="AY18" s="100"/>
      <c r="AZ18" s="101"/>
      <c r="BA18" s="99"/>
      <c r="BB18" s="100"/>
      <c r="BC18" s="101"/>
      <c r="BD18" s="99"/>
      <c r="BE18" s="102"/>
      <c r="BF18" s="98"/>
      <c r="BG18" s="99"/>
      <c r="BH18" s="100"/>
      <c r="BI18" s="101"/>
      <c r="BJ18" s="99"/>
      <c r="BK18" s="100"/>
      <c r="BL18" s="101"/>
      <c r="BM18" s="99"/>
      <c r="BN18" s="102"/>
    </row>
    <row r="19" spans="2:66" ht="19.5" customHeight="1" x14ac:dyDescent="0.25">
      <c r="B19" s="123" t="str">
        <f>Donnees!$C$28</f>
        <v>Améliorer FrontEnd</v>
      </c>
      <c r="C19" s="103">
        <v>2</v>
      </c>
      <c r="D19" s="93"/>
      <c r="E19" s="94"/>
      <c r="F19" s="95"/>
      <c r="G19" s="96"/>
      <c r="H19" s="94"/>
      <c r="I19" s="95"/>
      <c r="J19" s="96"/>
      <c r="K19" s="94"/>
      <c r="L19" s="97"/>
      <c r="M19" s="93"/>
      <c r="N19" s="94"/>
      <c r="O19" s="95"/>
      <c r="P19" s="96"/>
      <c r="Q19" s="94"/>
      <c r="R19" s="95"/>
      <c r="S19" s="96"/>
      <c r="T19" s="94"/>
      <c r="U19" s="120"/>
      <c r="V19" s="93"/>
      <c r="W19" s="94"/>
      <c r="X19" s="95"/>
      <c r="Y19" s="96"/>
      <c r="Z19" s="94"/>
      <c r="AA19" s="95"/>
      <c r="AB19" s="96"/>
      <c r="AC19" s="94"/>
      <c r="AD19" s="97"/>
      <c r="AE19" s="93"/>
      <c r="AF19" s="94"/>
      <c r="AG19" s="95"/>
      <c r="AH19" s="96"/>
      <c r="AI19" s="94"/>
      <c r="AJ19" s="95"/>
      <c r="AK19" s="119"/>
      <c r="AL19" s="94"/>
      <c r="AM19" s="97"/>
      <c r="AN19" s="93"/>
      <c r="AO19" s="94"/>
      <c r="AP19" s="95"/>
      <c r="AQ19" s="96"/>
      <c r="AR19" s="94"/>
      <c r="AS19" s="95"/>
      <c r="AT19" s="96"/>
      <c r="AU19" s="94"/>
      <c r="AV19" s="97"/>
      <c r="AW19" s="93"/>
      <c r="AX19" s="94"/>
      <c r="AY19" s="95"/>
      <c r="AZ19" s="96"/>
      <c r="BA19" s="94"/>
      <c r="BB19" s="95"/>
      <c r="BC19" s="96"/>
      <c r="BD19" s="94"/>
      <c r="BE19" s="97"/>
      <c r="BF19" s="93"/>
      <c r="BG19" s="94"/>
      <c r="BH19" s="95"/>
      <c r="BI19" s="96"/>
      <c r="BJ19" s="94"/>
      <c r="BK19" s="95"/>
      <c r="BL19" s="96"/>
      <c r="BM19" s="94"/>
      <c r="BN19" s="97"/>
    </row>
    <row r="20" spans="2:66" ht="19.5" customHeight="1" thickBot="1" x14ac:dyDescent="0.3">
      <c r="B20" s="124"/>
      <c r="C20" s="104">
        <v>2</v>
      </c>
      <c r="D20" s="98"/>
      <c r="E20" s="99"/>
      <c r="F20" s="100"/>
      <c r="G20" s="101"/>
      <c r="H20" s="99"/>
      <c r="I20" s="100"/>
      <c r="J20" s="101"/>
      <c r="K20" s="99"/>
      <c r="L20" s="102"/>
      <c r="M20" s="98"/>
      <c r="N20" s="99"/>
      <c r="O20" s="100"/>
      <c r="P20" s="101"/>
      <c r="Q20" s="99"/>
      <c r="R20" s="100"/>
      <c r="S20" s="114"/>
      <c r="T20" s="112"/>
      <c r="U20" s="102"/>
      <c r="V20" s="98"/>
      <c r="W20" s="99"/>
      <c r="X20" s="100"/>
      <c r="Y20" s="101"/>
      <c r="Z20" s="99"/>
      <c r="AA20" s="100"/>
      <c r="AB20" s="101"/>
      <c r="AC20" s="99"/>
      <c r="AD20" s="102"/>
      <c r="AE20" s="98"/>
      <c r="AF20" s="99"/>
      <c r="AG20" s="100"/>
      <c r="AH20" s="101"/>
      <c r="AI20" s="99"/>
      <c r="AJ20" s="100"/>
      <c r="AK20" s="101"/>
      <c r="AL20" s="99"/>
      <c r="AM20" s="102"/>
      <c r="AN20" s="98"/>
      <c r="AO20" s="99"/>
      <c r="AP20" s="100"/>
      <c r="AQ20" s="101"/>
      <c r="AR20" s="99"/>
      <c r="AS20" s="100"/>
      <c r="AT20" s="101"/>
      <c r="AU20" s="99"/>
      <c r="AV20" s="102"/>
      <c r="AW20" s="98"/>
      <c r="AX20" s="99"/>
      <c r="AY20" s="100"/>
      <c r="AZ20" s="101"/>
      <c r="BA20" s="99"/>
      <c r="BB20" s="100"/>
      <c r="BC20" s="101"/>
      <c r="BD20" s="99"/>
      <c r="BE20" s="102"/>
      <c r="BF20" s="98"/>
      <c r="BG20" s="99"/>
      <c r="BH20" s="100"/>
      <c r="BI20" s="101"/>
      <c r="BJ20" s="99"/>
      <c r="BK20" s="100"/>
      <c r="BL20" s="101"/>
      <c r="BM20" s="99"/>
      <c r="BN20" s="102"/>
    </row>
    <row r="21" spans="2:66" ht="19.5" customHeight="1" x14ac:dyDescent="0.25">
      <c r="B21" s="123" t="str">
        <f>Donnees!$C$29</f>
        <v>Vacances</v>
      </c>
      <c r="C21" s="103">
        <v>9</v>
      </c>
      <c r="D21" s="93"/>
      <c r="E21" s="94"/>
      <c r="F21" s="95"/>
      <c r="G21" s="96"/>
      <c r="H21" s="94"/>
      <c r="I21" s="95"/>
      <c r="J21" s="96"/>
      <c r="K21" s="94"/>
      <c r="L21" s="97"/>
      <c r="M21" s="93"/>
      <c r="N21" s="94"/>
      <c r="O21" s="95"/>
      <c r="P21" s="96"/>
      <c r="Q21" s="94"/>
      <c r="R21" s="95"/>
      <c r="S21" s="96"/>
      <c r="T21" s="94"/>
      <c r="U21" s="97"/>
      <c r="V21" s="116"/>
      <c r="W21" s="117"/>
      <c r="X21" s="118"/>
      <c r="Y21" s="119"/>
      <c r="Z21" s="117"/>
      <c r="AA21" s="118"/>
      <c r="AB21" s="119"/>
      <c r="AC21" s="117"/>
      <c r="AD21" s="120"/>
      <c r="AE21" s="93"/>
      <c r="AF21" s="94"/>
      <c r="AG21" s="95"/>
      <c r="AH21" s="96"/>
      <c r="AI21" s="94"/>
      <c r="AJ21" s="95"/>
      <c r="AK21" s="96"/>
      <c r="AL21" s="94"/>
      <c r="AM21" s="97"/>
      <c r="AN21" s="93"/>
      <c r="AO21" s="94"/>
      <c r="AP21" s="95"/>
      <c r="AQ21" s="96"/>
      <c r="AR21" s="94"/>
      <c r="AS21" s="95"/>
      <c r="AT21" s="96"/>
      <c r="AU21" s="94"/>
      <c r="AV21" s="97"/>
      <c r="AW21" s="93"/>
      <c r="AX21" s="94"/>
      <c r="AY21" s="95"/>
      <c r="AZ21" s="96"/>
      <c r="BA21" s="94"/>
      <c r="BB21" s="95"/>
      <c r="BC21" s="96"/>
      <c r="BD21" s="94"/>
      <c r="BE21" s="97"/>
      <c r="BF21" s="93"/>
      <c r="BG21" s="94"/>
      <c r="BH21" s="95"/>
      <c r="BI21" s="96"/>
      <c r="BJ21" s="94"/>
      <c r="BK21" s="95"/>
      <c r="BL21" s="96"/>
      <c r="BM21" s="94"/>
      <c r="BN21" s="97"/>
    </row>
    <row r="22" spans="2:66" ht="19.5" customHeight="1" thickBot="1" x14ac:dyDescent="0.3">
      <c r="B22" s="124"/>
      <c r="C22" s="104">
        <v>9</v>
      </c>
      <c r="D22" s="98"/>
      <c r="E22" s="99"/>
      <c r="F22" s="100"/>
      <c r="G22" s="101"/>
      <c r="H22" s="99"/>
      <c r="I22" s="100"/>
      <c r="J22" s="101"/>
      <c r="K22" s="99"/>
      <c r="L22" s="102"/>
      <c r="M22" s="98"/>
      <c r="N22" s="99"/>
      <c r="O22" s="100"/>
      <c r="P22" s="101"/>
      <c r="Q22" s="99"/>
      <c r="R22" s="100"/>
      <c r="S22" s="101"/>
      <c r="T22" s="99"/>
      <c r="U22" s="102"/>
      <c r="V22" s="111"/>
      <c r="W22" s="112"/>
      <c r="X22" s="113"/>
      <c r="Y22" s="114"/>
      <c r="Z22" s="112"/>
      <c r="AA22" s="113"/>
      <c r="AB22" s="114"/>
      <c r="AC22" s="112"/>
      <c r="AD22" s="115"/>
      <c r="AE22" s="98"/>
      <c r="AF22" s="99"/>
      <c r="AG22" s="100"/>
      <c r="AH22" s="101"/>
      <c r="AI22" s="99"/>
      <c r="AJ22" s="100"/>
      <c r="AK22" s="101"/>
      <c r="AL22" s="99"/>
      <c r="AM22" s="102"/>
      <c r="AN22" s="98"/>
      <c r="AO22" s="99"/>
      <c r="AP22" s="100"/>
      <c r="AQ22" s="101"/>
      <c r="AR22" s="99"/>
      <c r="AS22" s="100"/>
      <c r="AT22" s="101"/>
      <c r="AU22" s="99"/>
      <c r="AV22" s="102"/>
      <c r="AW22" s="98"/>
      <c r="AX22" s="99"/>
      <c r="AY22" s="100"/>
      <c r="AZ22" s="101"/>
      <c r="BA22" s="99"/>
      <c r="BB22" s="100"/>
      <c r="BC22" s="101"/>
      <c r="BD22" s="99"/>
      <c r="BE22" s="102"/>
      <c r="BF22" s="98"/>
      <c r="BG22" s="99"/>
      <c r="BH22" s="100"/>
      <c r="BI22" s="101"/>
      <c r="BJ22" s="99"/>
      <c r="BK22" s="100"/>
      <c r="BL22" s="101"/>
      <c r="BM22" s="99"/>
      <c r="BN22" s="102"/>
    </row>
    <row r="23" spans="2:66" ht="19.5" customHeight="1" x14ac:dyDescent="0.25">
      <c r="B23" s="123" t="str">
        <f>Donnees!$C$30</f>
        <v>Test</v>
      </c>
      <c r="C23" s="103">
        <v>2</v>
      </c>
      <c r="D23" s="93"/>
      <c r="E23" s="94"/>
      <c r="F23" s="95"/>
      <c r="G23" s="96"/>
      <c r="H23" s="94"/>
      <c r="I23" s="95"/>
      <c r="J23" s="96"/>
      <c r="K23" s="94"/>
      <c r="L23" s="97"/>
      <c r="M23" s="93"/>
      <c r="N23" s="94"/>
      <c r="O23" s="95"/>
      <c r="P23" s="96"/>
      <c r="Q23" s="94"/>
      <c r="R23" s="95"/>
      <c r="S23" s="96"/>
      <c r="T23" s="94"/>
      <c r="U23" s="97"/>
      <c r="V23" s="93"/>
      <c r="W23" s="94"/>
      <c r="X23" s="95"/>
      <c r="Y23" s="96"/>
      <c r="Z23" s="94"/>
      <c r="AA23" s="95"/>
      <c r="AB23" s="96"/>
      <c r="AC23" s="94"/>
      <c r="AD23" s="97"/>
      <c r="AE23" s="93"/>
      <c r="AF23" s="94"/>
      <c r="AG23" s="95"/>
      <c r="AH23" s="96"/>
      <c r="AI23" s="94"/>
      <c r="AJ23" s="95"/>
      <c r="AK23" s="96"/>
      <c r="AL23" s="94"/>
      <c r="AM23" s="97"/>
      <c r="AN23" s="93"/>
      <c r="AO23" s="94"/>
      <c r="AP23" s="95"/>
      <c r="AQ23" s="96"/>
      <c r="AR23" s="94"/>
      <c r="AS23" s="95"/>
      <c r="AT23" s="96"/>
      <c r="AU23" s="94"/>
      <c r="AV23" s="97"/>
      <c r="AW23" s="93"/>
      <c r="AX23" s="94"/>
      <c r="AY23" s="95"/>
      <c r="AZ23" s="96"/>
      <c r="BA23" s="94"/>
      <c r="BB23" s="118"/>
      <c r="BC23" s="119"/>
      <c r="BD23" s="94"/>
      <c r="BE23" s="97"/>
      <c r="BF23" s="93"/>
      <c r="BG23" s="94"/>
      <c r="BH23" s="95"/>
      <c r="BI23" s="96"/>
      <c r="BJ23" s="94"/>
      <c r="BK23" s="95"/>
      <c r="BL23" s="96"/>
      <c r="BM23" s="94"/>
      <c r="BN23" s="97"/>
    </row>
    <row r="24" spans="2:66" ht="19.5" customHeight="1" thickBot="1" x14ac:dyDescent="0.3">
      <c r="B24" s="124"/>
      <c r="C24" s="104">
        <v>0</v>
      </c>
      <c r="D24" s="98"/>
      <c r="E24" s="99"/>
      <c r="F24" s="100"/>
      <c r="G24" s="101"/>
      <c r="H24" s="99"/>
      <c r="I24" s="100"/>
      <c r="J24" s="101"/>
      <c r="K24" s="99"/>
      <c r="L24" s="102"/>
      <c r="M24" s="98"/>
      <c r="N24" s="99"/>
      <c r="O24" s="100"/>
      <c r="P24" s="101"/>
      <c r="Q24" s="99"/>
      <c r="R24" s="100"/>
      <c r="S24" s="101"/>
      <c r="T24" s="99"/>
      <c r="U24" s="102"/>
      <c r="V24" s="98"/>
      <c r="W24" s="99"/>
      <c r="X24" s="100"/>
      <c r="Y24" s="101"/>
      <c r="Z24" s="99"/>
      <c r="AA24" s="100"/>
      <c r="AB24" s="101"/>
      <c r="AC24" s="99"/>
      <c r="AD24" s="102"/>
      <c r="AE24" s="98"/>
      <c r="AF24" s="99"/>
      <c r="AG24" s="100"/>
      <c r="AH24" s="101"/>
      <c r="AI24" s="99"/>
      <c r="AJ24" s="100"/>
      <c r="AK24" s="101"/>
      <c r="AL24" s="99"/>
      <c r="AM24" s="102"/>
      <c r="AN24" s="98"/>
      <c r="AO24" s="99"/>
      <c r="AP24" s="100"/>
      <c r="AQ24" s="101"/>
      <c r="AR24" s="99"/>
      <c r="AS24" s="100"/>
      <c r="AT24" s="101"/>
      <c r="AU24" s="99"/>
      <c r="AV24" s="102"/>
      <c r="AW24" s="98"/>
      <c r="AX24" s="99"/>
      <c r="AY24" s="100"/>
      <c r="AZ24" s="101"/>
      <c r="BA24" s="99"/>
      <c r="BB24" s="100"/>
      <c r="BC24" s="101"/>
      <c r="BD24" s="99"/>
      <c r="BE24" s="102"/>
      <c r="BF24" s="98"/>
      <c r="BG24" s="99"/>
      <c r="BH24" s="100"/>
      <c r="BI24" s="101"/>
      <c r="BJ24" s="99"/>
      <c r="BK24" s="100"/>
      <c r="BL24" s="101"/>
      <c r="BM24" s="99"/>
      <c r="BN24" s="102"/>
    </row>
    <row r="25" spans="2:66" ht="19.5" customHeight="1" x14ac:dyDescent="0.25">
      <c r="B25" s="123" t="str">
        <f>Donnees!$C$31</f>
        <v>Faire PowerPoint</v>
      </c>
      <c r="C25" s="103">
        <v>6</v>
      </c>
      <c r="D25" s="93"/>
      <c r="E25" s="94"/>
      <c r="F25" s="95"/>
      <c r="G25" s="96"/>
      <c r="H25" s="94"/>
      <c r="I25" s="95"/>
      <c r="J25" s="96"/>
      <c r="K25" s="94"/>
      <c r="L25" s="97"/>
      <c r="M25" s="93"/>
      <c r="N25" s="94"/>
      <c r="O25" s="95"/>
      <c r="P25" s="96"/>
      <c r="Q25" s="94"/>
      <c r="R25" s="95"/>
      <c r="S25" s="96"/>
      <c r="T25" s="94"/>
      <c r="U25" s="97"/>
      <c r="V25" s="93"/>
      <c r="W25" s="94"/>
      <c r="X25" s="95"/>
      <c r="Y25" s="96"/>
      <c r="Z25" s="94"/>
      <c r="AA25" s="95"/>
      <c r="AB25" s="96"/>
      <c r="AC25" s="94"/>
      <c r="AD25" s="97"/>
      <c r="AE25" s="93"/>
      <c r="AF25" s="94"/>
      <c r="AG25" s="95"/>
      <c r="AH25" s="96"/>
      <c r="AI25" s="94"/>
      <c r="AJ25" s="95"/>
      <c r="AK25" s="96"/>
      <c r="AL25" s="117"/>
      <c r="AM25" s="120"/>
      <c r="AN25" s="93"/>
      <c r="AO25" s="94"/>
      <c r="AP25" s="95"/>
      <c r="AQ25" s="96"/>
      <c r="AR25" s="94"/>
      <c r="AS25" s="95"/>
      <c r="AT25" s="96"/>
      <c r="AU25" s="94"/>
      <c r="AV25" s="97"/>
      <c r="AW25" s="93"/>
      <c r="AX25" s="94"/>
      <c r="AY25" s="95"/>
      <c r="AZ25" s="96"/>
      <c r="BA25" s="94"/>
      <c r="BB25" s="95"/>
      <c r="BC25" s="96"/>
      <c r="BD25" s="94"/>
      <c r="BE25" s="97"/>
      <c r="BF25" s="93"/>
      <c r="BG25" s="94"/>
      <c r="BH25" s="95"/>
      <c r="BI25" s="119"/>
      <c r="BJ25" s="117"/>
      <c r="BK25" s="118"/>
      <c r="BL25" s="119"/>
      <c r="BM25" s="94"/>
      <c r="BN25" s="97"/>
    </row>
    <row r="26" spans="2:66" ht="19.5" customHeight="1" thickBot="1" x14ac:dyDescent="0.3">
      <c r="B26" s="124"/>
      <c r="C26" s="104">
        <v>2</v>
      </c>
      <c r="D26" s="98"/>
      <c r="E26" s="99"/>
      <c r="F26" s="100"/>
      <c r="G26" s="101"/>
      <c r="H26" s="99"/>
      <c r="I26" s="100"/>
      <c r="J26" s="101"/>
      <c r="K26" s="99"/>
      <c r="L26" s="102"/>
      <c r="M26" s="98"/>
      <c r="N26" s="99"/>
      <c r="O26" s="100"/>
      <c r="P26" s="101"/>
      <c r="Q26" s="99"/>
      <c r="R26" s="100"/>
      <c r="S26" s="101"/>
      <c r="T26" s="99"/>
      <c r="U26" s="102"/>
      <c r="V26" s="98"/>
      <c r="W26" s="99"/>
      <c r="X26" s="100"/>
      <c r="Y26" s="101"/>
      <c r="Z26" s="99"/>
      <c r="AA26" s="100"/>
      <c r="AB26" s="101"/>
      <c r="AC26" s="99"/>
      <c r="AD26" s="102"/>
      <c r="AE26" s="98"/>
      <c r="AF26" s="99"/>
      <c r="AG26" s="100"/>
      <c r="AH26" s="101"/>
      <c r="AI26" s="99"/>
      <c r="AJ26" s="100"/>
      <c r="AK26" s="101"/>
      <c r="AL26" s="99"/>
      <c r="AM26" s="102"/>
      <c r="AN26" s="98"/>
      <c r="AO26" s="99"/>
      <c r="AP26" s="100"/>
      <c r="AQ26" s="101"/>
      <c r="AR26" s="99"/>
      <c r="AS26" s="100"/>
      <c r="AT26" s="114"/>
      <c r="AU26" s="112"/>
      <c r="AV26" s="102"/>
      <c r="AW26" s="98"/>
      <c r="AX26" s="99"/>
      <c r="AY26" s="100"/>
      <c r="AZ26" s="101"/>
      <c r="BA26" s="99"/>
      <c r="BB26" s="100"/>
      <c r="BC26" s="101"/>
      <c r="BD26" s="99"/>
      <c r="BE26" s="102"/>
      <c r="BF26" s="98"/>
      <c r="BG26" s="99"/>
      <c r="BH26" s="100"/>
      <c r="BI26" s="101"/>
      <c r="BJ26" s="99"/>
      <c r="BK26" s="100"/>
      <c r="BL26" s="101"/>
      <c r="BM26" s="99"/>
      <c r="BN26" s="102"/>
    </row>
    <row r="27" spans="2:66" ht="19.5" customHeight="1" x14ac:dyDescent="0.25">
      <c r="B27" s="123" t="str">
        <f>Donnees!$C$32</f>
        <v>Livrer les livrables</v>
      </c>
      <c r="C27" s="103">
        <v>1</v>
      </c>
      <c r="D27" s="93"/>
      <c r="E27" s="94"/>
      <c r="F27" s="95"/>
      <c r="G27" s="96"/>
      <c r="H27" s="94"/>
      <c r="I27" s="95"/>
      <c r="J27" s="96"/>
      <c r="K27" s="94"/>
      <c r="L27" s="97"/>
      <c r="M27" s="93"/>
      <c r="N27" s="94"/>
      <c r="O27" s="95"/>
      <c r="P27" s="96"/>
      <c r="Q27" s="94"/>
      <c r="R27" s="95"/>
      <c r="S27" s="96"/>
      <c r="T27" s="94"/>
      <c r="U27" s="97"/>
      <c r="V27" s="93"/>
      <c r="W27" s="94"/>
      <c r="X27" s="95"/>
      <c r="Y27" s="96"/>
      <c r="Z27" s="94"/>
      <c r="AA27" s="95"/>
      <c r="AB27" s="96"/>
      <c r="AC27" s="94"/>
      <c r="AD27" s="97"/>
      <c r="AE27" s="93"/>
      <c r="AF27" s="94"/>
      <c r="AG27" s="95"/>
      <c r="AH27" s="96"/>
      <c r="AI27" s="94"/>
      <c r="AJ27" s="95"/>
      <c r="AK27" s="96"/>
      <c r="AL27" s="94"/>
      <c r="AM27" s="97"/>
      <c r="AN27" s="93"/>
      <c r="AO27" s="94"/>
      <c r="AP27" s="95"/>
      <c r="AQ27" s="96"/>
      <c r="AR27" s="94"/>
      <c r="AS27" s="95"/>
      <c r="AT27" s="96"/>
      <c r="AU27" s="94"/>
      <c r="AV27" s="97"/>
      <c r="AW27" s="93"/>
      <c r="AX27" s="94"/>
      <c r="AY27" s="95"/>
      <c r="AZ27" s="96"/>
      <c r="BA27" s="94"/>
      <c r="BB27" s="95"/>
      <c r="BC27" s="96"/>
      <c r="BD27" s="94"/>
      <c r="BE27" s="97"/>
      <c r="BF27" s="93"/>
      <c r="BG27" s="94"/>
      <c r="BH27" s="95"/>
      <c r="BI27" s="96"/>
      <c r="BJ27" s="94"/>
      <c r="BK27" s="95"/>
      <c r="BL27" s="96"/>
      <c r="BM27" s="94"/>
      <c r="BN27" s="120"/>
    </row>
    <row r="28" spans="2:66" ht="19.5" customHeight="1" x14ac:dyDescent="0.25">
      <c r="B28" s="124"/>
      <c r="C28" s="104">
        <v>0</v>
      </c>
      <c r="D28" s="98"/>
      <c r="E28" s="99"/>
      <c r="F28" s="100"/>
      <c r="G28" s="101"/>
      <c r="H28" s="99"/>
      <c r="I28" s="100"/>
      <c r="J28" s="101"/>
      <c r="K28" s="99"/>
      <c r="L28" s="102"/>
      <c r="M28" s="98"/>
      <c r="N28" s="99"/>
      <c r="O28" s="100"/>
      <c r="P28" s="101"/>
      <c r="Q28" s="99"/>
      <c r="R28" s="100"/>
      <c r="S28" s="101"/>
      <c r="T28" s="99"/>
      <c r="U28" s="102"/>
      <c r="V28" s="98"/>
      <c r="W28" s="99"/>
      <c r="X28" s="100"/>
      <c r="Y28" s="101"/>
      <c r="Z28" s="99"/>
      <c r="AA28" s="100"/>
      <c r="AB28" s="101"/>
      <c r="AC28" s="99"/>
      <c r="AD28" s="102"/>
      <c r="AE28" s="98"/>
      <c r="AF28" s="99"/>
      <c r="AG28" s="100"/>
      <c r="AH28" s="101"/>
      <c r="AI28" s="99"/>
      <c r="AJ28" s="100"/>
      <c r="AK28" s="101"/>
      <c r="AL28" s="99"/>
      <c r="AM28" s="102"/>
      <c r="AN28" s="98"/>
      <c r="AO28" s="99"/>
      <c r="AP28" s="100"/>
      <c r="AQ28" s="101"/>
      <c r="AR28" s="99"/>
      <c r="AS28" s="100"/>
      <c r="AT28" s="101"/>
      <c r="AU28" s="99"/>
      <c r="AV28" s="102"/>
      <c r="AW28" s="98"/>
      <c r="AX28" s="99"/>
      <c r="AY28" s="100"/>
      <c r="AZ28" s="101"/>
      <c r="BA28" s="99"/>
      <c r="BB28" s="100"/>
      <c r="BC28" s="101"/>
      <c r="BD28" s="99"/>
      <c r="BE28" s="102"/>
      <c r="BF28" s="98"/>
      <c r="BG28" s="99"/>
      <c r="BH28" s="100"/>
      <c r="BI28" s="101"/>
      <c r="BJ28" s="99"/>
      <c r="BK28" s="100"/>
      <c r="BL28" s="101"/>
      <c r="BM28" s="99"/>
      <c r="BN28" s="102"/>
    </row>
    <row r="29" spans="2:66" ht="19.5" customHeight="1" x14ac:dyDescent="0.25">
      <c r="B29" s="25" t="s">
        <v>16</v>
      </c>
      <c r="C29" s="27">
        <f>SUM($C$3,$C$5,$C$7,$C$9,$C$11,$C$13,$C$15,$C$17,$C$19,$C$21,$C$23,$C$25,$C$27)</f>
        <v>63</v>
      </c>
      <c r="D29" s="105"/>
      <c r="E29" s="106"/>
      <c r="F29" s="106"/>
      <c r="G29" s="106"/>
      <c r="H29" s="106"/>
      <c r="I29" s="106"/>
      <c r="J29" s="106"/>
      <c r="K29" s="106"/>
      <c r="L29" s="107"/>
      <c r="M29" s="105"/>
      <c r="N29" s="106"/>
      <c r="O29" s="106"/>
      <c r="P29" s="106"/>
      <c r="Q29" s="106"/>
      <c r="R29" s="106"/>
      <c r="S29" s="106"/>
      <c r="T29" s="106"/>
      <c r="U29" s="107"/>
      <c r="V29" s="105"/>
      <c r="W29" s="106"/>
      <c r="X29" s="106"/>
      <c r="Y29" s="106"/>
      <c r="Z29" s="106"/>
      <c r="AA29" s="106"/>
      <c r="AB29" s="106"/>
      <c r="AC29" s="106"/>
      <c r="AD29" s="107"/>
      <c r="AE29" s="105"/>
      <c r="AF29" s="106"/>
      <c r="AG29" s="106"/>
      <c r="AH29" s="106"/>
      <c r="AI29" s="106"/>
      <c r="AJ29" s="106"/>
      <c r="AK29" s="106"/>
      <c r="AL29" s="106"/>
      <c r="AM29" s="107"/>
      <c r="AN29" s="105"/>
      <c r="AO29" s="106"/>
      <c r="AP29" s="106"/>
      <c r="AQ29" s="106"/>
      <c r="AR29" s="106"/>
      <c r="AS29" s="106"/>
      <c r="AT29" s="106"/>
      <c r="AU29" s="106"/>
      <c r="AV29" s="107"/>
      <c r="AW29" s="105"/>
      <c r="AX29" s="106"/>
      <c r="AY29" s="106"/>
      <c r="AZ29" s="106"/>
      <c r="BA29" s="106"/>
      <c r="BB29" s="106"/>
      <c r="BC29" s="106"/>
      <c r="BD29" s="106"/>
      <c r="BE29" s="107"/>
      <c r="BF29" s="105"/>
      <c r="BG29" s="106"/>
      <c r="BH29" s="106"/>
      <c r="BI29" s="106"/>
      <c r="BJ29" s="106"/>
      <c r="BK29" s="106"/>
      <c r="BL29" s="106"/>
      <c r="BM29" s="106"/>
      <c r="BN29" s="107"/>
    </row>
    <row r="30" spans="2:66" ht="19.5" customHeight="1" thickBot="1" x14ac:dyDescent="0.3">
      <c r="B30" s="26" t="s">
        <v>17</v>
      </c>
      <c r="C30" s="28">
        <f>SUM($C$4,$C$6,$C$8,$C$10,$C$12,$C$14,$C$16,$C$18,$C$20,$C$22,$C$24,$C$26,$C$28)</f>
        <v>45</v>
      </c>
      <c r="D30" s="108"/>
      <c r="E30" s="109"/>
      <c r="F30" s="109"/>
      <c r="G30" s="109"/>
      <c r="H30" s="109"/>
      <c r="I30" s="109"/>
      <c r="J30" s="109"/>
      <c r="K30" s="109"/>
      <c r="L30" s="110"/>
      <c r="M30" s="108"/>
      <c r="N30" s="109"/>
      <c r="O30" s="109"/>
      <c r="P30" s="109"/>
      <c r="Q30" s="109"/>
      <c r="R30" s="109"/>
      <c r="S30" s="109"/>
      <c r="T30" s="109"/>
      <c r="U30" s="110"/>
      <c r="V30" s="108"/>
      <c r="W30" s="109"/>
      <c r="X30" s="109"/>
      <c r="Y30" s="109"/>
      <c r="Z30" s="109"/>
      <c r="AA30" s="109"/>
      <c r="AB30" s="109"/>
      <c r="AC30" s="109"/>
      <c r="AD30" s="110"/>
      <c r="AE30" s="108"/>
      <c r="AF30" s="109"/>
      <c r="AG30" s="109"/>
      <c r="AH30" s="109"/>
      <c r="AI30" s="109"/>
      <c r="AJ30" s="109"/>
      <c r="AK30" s="109"/>
      <c r="AL30" s="109"/>
      <c r="AM30" s="110"/>
      <c r="AN30" s="108"/>
      <c r="AO30" s="109"/>
      <c r="AP30" s="109"/>
      <c r="AQ30" s="109"/>
      <c r="AR30" s="109"/>
      <c r="AS30" s="109"/>
      <c r="AT30" s="109"/>
      <c r="AU30" s="109"/>
      <c r="AV30" s="110"/>
      <c r="AW30" s="108"/>
      <c r="AX30" s="109"/>
      <c r="AY30" s="109"/>
      <c r="AZ30" s="109"/>
      <c r="BA30" s="109"/>
      <c r="BB30" s="109"/>
      <c r="BC30" s="109"/>
      <c r="BD30" s="109"/>
      <c r="BE30" s="110"/>
      <c r="BF30" s="108"/>
      <c r="BG30" s="109"/>
      <c r="BH30" s="109"/>
      <c r="BI30" s="109"/>
      <c r="BJ30" s="109"/>
      <c r="BK30" s="109"/>
      <c r="BL30" s="109"/>
      <c r="BM30" s="109"/>
      <c r="BN30" s="110"/>
    </row>
  </sheetData>
  <sheetProtection sheet="1" objects="1" scenarios="1" insertRows="0" selectLockedCells="1"/>
  <mergeCells count="20">
    <mergeCell ref="B27:B28"/>
    <mergeCell ref="D2:L2"/>
    <mergeCell ref="M2:U2"/>
    <mergeCell ref="V2:AD2"/>
    <mergeCell ref="AE2:AM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  <mergeCell ref="AW2:BE2"/>
    <mergeCell ref="BF2:BN2"/>
    <mergeCell ref="AN2:AV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9" xr:uid="{856D5971-4E3D-47B7-A3E1-4B3828169E48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42578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42578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8" t="s">
        <v>21</v>
      </c>
      <c r="C3" s="16">
        <v>0</v>
      </c>
    </row>
    <row r="4" spans="1:4" ht="19.5" customHeight="1" x14ac:dyDescent="0.25">
      <c r="A4" s="19"/>
      <c r="B4" s="129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42578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42578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BEA9F-FF25-4B0A-906C-1A3C4ACA365F}">
  <sheetPr codeName="Feuil9"/>
  <dimension ref="A1:H134"/>
  <sheetViews>
    <sheetView workbookViewId="0">
      <selection activeCell="F5" sqref="F5"/>
    </sheetView>
  </sheetViews>
  <sheetFormatPr baseColWidth="10" defaultColWidth="11.42578125" defaultRowHeight="13.5" x14ac:dyDescent="0.25"/>
  <cols>
    <col min="1" max="1" width="21.42578125" style="20" customWidth="1"/>
    <col min="2" max="2" width="8.42578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45321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ht="51" x14ac:dyDescent="0.25">
      <c r="A3" s="5" t="s">
        <v>28</v>
      </c>
      <c r="B3" s="4">
        <v>3</v>
      </c>
      <c r="C3" s="89" t="s">
        <v>42</v>
      </c>
      <c r="D3" s="90" t="s">
        <v>43</v>
      </c>
    </row>
    <row r="4" spans="1:4" s="52" customFormat="1" ht="51" x14ac:dyDescent="0.25">
      <c r="A4" s="1" t="s">
        <v>29</v>
      </c>
      <c r="B4" s="2">
        <v>1</v>
      </c>
      <c r="C4" s="91" t="s">
        <v>44</v>
      </c>
      <c r="D4" s="92" t="s">
        <v>45</v>
      </c>
    </row>
    <row r="5" spans="1:4" s="52" customFormat="1" x14ac:dyDescent="0.25">
      <c r="A5" s="1" t="s">
        <v>30</v>
      </c>
      <c r="B5" s="2">
        <v>3</v>
      </c>
      <c r="C5" s="91" t="s">
        <v>46</v>
      </c>
      <c r="D5" s="10"/>
    </row>
    <row r="6" spans="1:4" s="52" customFormat="1" x14ac:dyDescent="0.25">
      <c r="A6" s="1" t="s">
        <v>31</v>
      </c>
      <c r="B6" s="2">
        <v>1</v>
      </c>
      <c r="C6" s="10" t="s">
        <v>47</v>
      </c>
      <c r="D6" s="10"/>
    </row>
    <row r="7" spans="1:4" s="52" customFormat="1" x14ac:dyDescent="0.25">
      <c r="A7" s="1" t="s">
        <v>33</v>
      </c>
      <c r="B7" s="2">
        <v>1</v>
      </c>
      <c r="C7" s="91" t="s">
        <v>75</v>
      </c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6" t="s">
        <v>40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45328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ht="27" x14ac:dyDescent="0.25">
      <c r="A22" s="5" t="s">
        <v>31</v>
      </c>
      <c r="B22" s="4">
        <v>4</v>
      </c>
      <c r="C22" s="89" t="s">
        <v>70</v>
      </c>
      <c r="D22" s="9"/>
    </row>
    <row r="23" spans="1:8" ht="27" x14ac:dyDescent="0.25">
      <c r="A23" s="1" t="s">
        <v>34</v>
      </c>
      <c r="B23" s="2">
        <v>1</v>
      </c>
      <c r="C23" s="91" t="s">
        <v>78</v>
      </c>
      <c r="D23" s="10"/>
    </row>
    <row r="24" spans="1:8" ht="27" x14ac:dyDescent="0.25">
      <c r="A24" s="1" t="s">
        <v>32</v>
      </c>
      <c r="B24" s="2">
        <v>1</v>
      </c>
      <c r="C24" s="91" t="s">
        <v>72</v>
      </c>
      <c r="D24" s="10"/>
    </row>
    <row r="25" spans="1:8" ht="12.75" customHeight="1" x14ac:dyDescent="0.25">
      <c r="A25" s="1" t="s">
        <v>35</v>
      </c>
      <c r="B25" s="2">
        <v>2</v>
      </c>
      <c r="C25" s="91" t="s">
        <v>74</v>
      </c>
      <c r="D25" s="10"/>
      <c r="F25" s="31"/>
      <c r="G25" s="32"/>
      <c r="H25" s="33"/>
    </row>
    <row r="26" spans="1:8" ht="15" x14ac:dyDescent="0.25">
      <c r="A26" s="1" t="s">
        <v>33</v>
      </c>
      <c r="B26" s="2">
        <v>1</v>
      </c>
      <c r="C26" s="91" t="s">
        <v>73</v>
      </c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6" t="s">
        <v>40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45335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36</v>
      </c>
      <c r="B41" s="4">
        <v>9</v>
      </c>
      <c r="C41" s="89" t="s">
        <v>76</v>
      </c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9</v>
      </c>
      <c r="C56" s="86" t="s">
        <v>40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45342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ht="27" x14ac:dyDescent="0.25">
      <c r="A60" s="5" t="s">
        <v>34</v>
      </c>
      <c r="B60" s="4">
        <v>2</v>
      </c>
      <c r="C60" s="89" t="s">
        <v>77</v>
      </c>
      <c r="D60" s="9"/>
    </row>
    <row r="61" spans="1:4" ht="27" x14ac:dyDescent="0.25">
      <c r="A61" s="1" t="s">
        <v>34</v>
      </c>
      <c r="B61" s="2">
        <v>3</v>
      </c>
      <c r="C61" s="91" t="s">
        <v>85</v>
      </c>
      <c r="D61" s="10"/>
    </row>
    <row r="62" spans="1:4" ht="27" x14ac:dyDescent="0.25">
      <c r="A62" s="1" t="s">
        <v>32</v>
      </c>
      <c r="B62" s="2">
        <v>1</v>
      </c>
      <c r="C62" s="91" t="s">
        <v>86</v>
      </c>
      <c r="D62" s="10"/>
    </row>
    <row r="63" spans="1:4" x14ac:dyDescent="0.25">
      <c r="A63" s="1" t="s">
        <v>31</v>
      </c>
      <c r="B63" s="2">
        <v>2</v>
      </c>
      <c r="C63" s="10"/>
      <c r="D63" s="10"/>
    </row>
    <row r="64" spans="1:4" x14ac:dyDescent="0.25">
      <c r="A64" s="1" t="s">
        <v>33</v>
      </c>
      <c r="B64" s="2">
        <v>1</v>
      </c>
      <c r="C64" s="91" t="s">
        <v>73</v>
      </c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9</v>
      </c>
      <c r="C75" s="86" t="s">
        <v>40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45349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ht="27" x14ac:dyDescent="0.25">
      <c r="A79" s="5" t="s">
        <v>34</v>
      </c>
      <c r="B79" s="4">
        <v>2</v>
      </c>
      <c r="C79" s="89" t="s">
        <v>81</v>
      </c>
      <c r="D79" s="9"/>
    </row>
    <row r="80" spans="1:4" ht="27" x14ac:dyDescent="0.25">
      <c r="A80" s="1" t="s">
        <v>34</v>
      </c>
      <c r="B80" s="2">
        <v>1</v>
      </c>
      <c r="C80" s="91" t="s">
        <v>82</v>
      </c>
      <c r="D80" s="10"/>
    </row>
    <row r="81" spans="1:4" ht="27" x14ac:dyDescent="0.25">
      <c r="A81" s="1" t="s">
        <v>34</v>
      </c>
      <c r="B81" s="2">
        <v>1</v>
      </c>
      <c r="C81" s="91" t="s">
        <v>83</v>
      </c>
      <c r="D81" s="10"/>
    </row>
    <row r="82" spans="1:4" ht="27" x14ac:dyDescent="0.25">
      <c r="A82" s="1" t="s">
        <v>32</v>
      </c>
      <c r="B82" s="2">
        <v>2</v>
      </c>
      <c r="C82" s="91" t="s">
        <v>87</v>
      </c>
      <c r="D82" s="10"/>
    </row>
    <row r="83" spans="1:4" x14ac:dyDescent="0.25">
      <c r="A83" s="1" t="s">
        <v>38</v>
      </c>
      <c r="B83" s="2">
        <v>2</v>
      </c>
      <c r="C83" s="91" t="s">
        <v>88</v>
      </c>
      <c r="D83" s="10"/>
    </row>
    <row r="84" spans="1:4" x14ac:dyDescent="0.25">
      <c r="A84" s="1" t="s">
        <v>33</v>
      </c>
      <c r="B84" s="2">
        <v>1</v>
      </c>
      <c r="C84" s="91" t="s">
        <v>51</v>
      </c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9</v>
      </c>
      <c r="C94" s="86" t="s">
        <v>40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45356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 t="s">
        <v>89</v>
      </c>
      <c r="B98" s="4">
        <v>9</v>
      </c>
      <c r="C98" s="89" t="s">
        <v>90</v>
      </c>
      <c r="D98" s="9"/>
    </row>
    <row r="99" spans="1:4" x14ac:dyDescent="0.25">
      <c r="A99" s="1" t="s">
        <v>31</v>
      </c>
      <c r="B99" s="2">
        <v>2</v>
      </c>
      <c r="C99" s="91" t="s">
        <v>93</v>
      </c>
      <c r="D99" s="10"/>
    </row>
    <row r="100" spans="1:4" x14ac:dyDescent="0.25">
      <c r="A100" s="1" t="s">
        <v>38</v>
      </c>
      <c r="B100" s="2">
        <v>3</v>
      </c>
      <c r="C100" s="131" t="s">
        <v>94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14</v>
      </c>
      <c r="C113" s="86" t="s">
        <v>40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45363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40</v>
      </c>
      <c r="D132" s="48"/>
    </row>
    <row r="133" spans="1:4" ht="14.25" x14ac:dyDescent="0.3">
      <c r="A133" s="49"/>
      <c r="B133" s="49"/>
      <c r="C133" s="49"/>
      <c r="D133" s="49"/>
    </row>
    <row r="134" spans="1:4" x14ac:dyDescent="0.25">
      <c r="A134" s="87" t="s">
        <v>41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0804672-FFBB-41F0-B8B5-A8FCEA33F575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17:B131 B22:B36 B41:B55 B60:B74 B3:B17 B98:B112 B79:B93" xr:uid="{DC31B37B-2B3D-431C-898B-0DF77A08FC8A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 xr:uid="{3715C3E2-3CC0-4FA6-B641-AAB5100F9CBA}">
      <formula1>0</formula1>
      <formula2>NbPerWeek * NbQuartPer</formula2>
    </dataValidation>
    <dataValidation type="list" allowBlank="1" showInputMessage="1" showErrorMessage="1" sqref="A117:A131 A22:A36 A41:A55 A60:A74 A3:A17 A98:A112 A79:A93" xr:uid="{C76D2BD1-917C-45D5-B1D7-CE0AF913A0A3}">
      <formula1>lstTasks</formula1>
    </dataValidation>
  </dataValidations>
  <hyperlinks>
    <hyperlink ref="D3" r:id="rId1" xr:uid="{B59219E5-738E-4110-A852-8E07746B266D}"/>
    <hyperlink ref="D4" r:id="rId2" xr:uid="{E5F567F5-D8A5-494A-94C1-F8BD3AE69F3E}"/>
  </hyperlinks>
  <pageMargins left="0.7" right="0.7" top="0.75" bottom="0.75" header="0.3" footer="0.3"/>
  <pageSetup paperSize="9" orientation="portrait" r:id="rId3"/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32C41-ACA5-4ED5-A9C1-57B96C62CF8E}">
  <sheetPr codeName="Feuil5"/>
  <dimension ref="A1:H99"/>
  <sheetViews>
    <sheetView tabSelected="1" workbookViewId="0">
      <selection activeCell="C4" sqref="C4"/>
    </sheetView>
  </sheetViews>
  <sheetFormatPr baseColWidth="10" defaultColWidth="11.42578125" defaultRowHeight="13.5" x14ac:dyDescent="0.25"/>
  <cols>
    <col min="1" max="1" width="21.42578125" style="20" customWidth="1"/>
    <col min="2" max="2" width="8.42578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 t="s">
        <v>28</v>
      </c>
      <c r="B3" s="4">
        <v>3</v>
      </c>
      <c r="C3" s="9" t="s">
        <v>48</v>
      </c>
      <c r="D3" s="9"/>
    </row>
    <row r="4" spans="1:4" s="52" customFormat="1" x14ac:dyDescent="0.25">
      <c r="A4" s="1" t="s">
        <v>29</v>
      </c>
      <c r="B4" s="2">
        <v>1</v>
      </c>
      <c r="C4" s="10" t="s">
        <v>49</v>
      </c>
      <c r="D4" s="10"/>
    </row>
    <row r="5" spans="1:4" s="52" customFormat="1" x14ac:dyDescent="0.25">
      <c r="A5" s="1" t="s">
        <v>30</v>
      </c>
      <c r="B5" s="2">
        <v>4</v>
      </c>
      <c r="C5" s="10" t="s">
        <v>50</v>
      </c>
      <c r="D5" s="10"/>
    </row>
    <row r="6" spans="1:4" s="52" customFormat="1" x14ac:dyDescent="0.25">
      <c r="A6" s="1" t="s">
        <v>33</v>
      </c>
      <c r="B6" s="2">
        <v>1</v>
      </c>
      <c r="C6" s="10" t="s">
        <v>51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9</v>
      </c>
      <c r="C13" s="88" t="s">
        <v>40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5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x14ac:dyDescent="0.25">
      <c r="A17" s="5" t="s">
        <v>31</v>
      </c>
      <c r="B17" s="4">
        <v>5</v>
      </c>
      <c r="C17" s="9" t="s">
        <v>52</v>
      </c>
      <c r="D17" s="9"/>
    </row>
    <row r="18" spans="1:8" ht="27" x14ac:dyDescent="0.25">
      <c r="A18" s="1" t="s">
        <v>34</v>
      </c>
      <c r="B18" s="2">
        <v>1</v>
      </c>
      <c r="C18" s="91" t="s">
        <v>79</v>
      </c>
      <c r="D18" s="10"/>
    </row>
    <row r="19" spans="1:8" ht="27" x14ac:dyDescent="0.25">
      <c r="A19" s="1" t="s">
        <v>32</v>
      </c>
      <c r="B19" s="2">
        <v>1</v>
      </c>
      <c r="C19" s="10" t="s">
        <v>53</v>
      </c>
      <c r="D19" s="10"/>
    </row>
    <row r="20" spans="1:8" ht="12.75" customHeight="1" x14ac:dyDescent="0.25">
      <c r="A20" s="1" t="s">
        <v>33</v>
      </c>
      <c r="B20" s="2">
        <v>1</v>
      </c>
      <c r="C20" s="10" t="s">
        <v>51</v>
      </c>
      <c r="D20" s="10"/>
      <c r="F20" s="31"/>
      <c r="G20" s="32"/>
      <c r="H20" s="33"/>
    </row>
    <row r="21" spans="1:8" ht="15" x14ac:dyDescent="0.25">
      <c r="A21" s="1" t="s">
        <v>35</v>
      </c>
      <c r="B21" s="2">
        <v>1</v>
      </c>
      <c r="C21" s="91" t="s">
        <v>71</v>
      </c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9</v>
      </c>
      <c r="C27" s="88" t="s">
        <v>40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14.25" x14ac:dyDescent="0.3">
      <c r="A31" s="5" t="s">
        <v>36</v>
      </c>
      <c r="B31" s="4">
        <v>9</v>
      </c>
      <c r="C31" s="9" t="s">
        <v>54</v>
      </c>
      <c r="D31" s="9"/>
      <c r="F31" s="40"/>
      <c r="G31" s="40"/>
      <c r="H31" s="40"/>
    </row>
    <row r="32" spans="1:8" x14ac:dyDescent="0.25">
      <c r="A32" s="1"/>
      <c r="B32" s="2"/>
      <c r="C32" s="10"/>
      <c r="D32" s="10"/>
    </row>
    <row r="33" spans="1:4" x14ac:dyDescent="0.25">
      <c r="A33" s="1"/>
      <c r="B33" s="2"/>
      <c r="C33" s="10"/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9</v>
      </c>
      <c r="C41" s="88" t="s">
        <v>40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5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ht="27" x14ac:dyDescent="0.25">
      <c r="A45" s="5" t="s">
        <v>34</v>
      </c>
      <c r="B45" s="4">
        <v>2</v>
      </c>
      <c r="C45" s="89" t="s">
        <v>84</v>
      </c>
      <c r="D45" s="9"/>
    </row>
    <row r="46" spans="1:4" x14ac:dyDescent="0.25">
      <c r="A46" s="52"/>
      <c r="B46" s="52"/>
      <c r="C46" s="52"/>
      <c r="D46" s="10"/>
    </row>
    <row r="47" spans="1:4" ht="27" x14ac:dyDescent="0.25">
      <c r="A47" s="1" t="s">
        <v>34</v>
      </c>
      <c r="B47" s="2">
        <v>2</v>
      </c>
      <c r="C47" s="91" t="s">
        <v>80</v>
      </c>
      <c r="D47" s="10"/>
    </row>
    <row r="48" spans="1:4" ht="27" x14ac:dyDescent="0.25">
      <c r="A48" s="1" t="s">
        <v>32</v>
      </c>
      <c r="B48" s="2">
        <v>1</v>
      </c>
      <c r="C48" s="10" t="s">
        <v>53</v>
      </c>
      <c r="D48" s="10"/>
    </row>
    <row r="49" spans="1:4" x14ac:dyDescent="0.25">
      <c r="A49" s="1" t="s">
        <v>33</v>
      </c>
      <c r="B49" s="2">
        <v>1</v>
      </c>
      <c r="C49" s="10" t="s">
        <v>55</v>
      </c>
      <c r="D49" s="10"/>
    </row>
    <row r="50" spans="1:4" x14ac:dyDescent="0.25">
      <c r="A50" s="1" t="s">
        <v>35</v>
      </c>
      <c r="B50" s="1">
        <v>1</v>
      </c>
      <c r="C50" s="10" t="s">
        <v>56</v>
      </c>
      <c r="D50" s="10"/>
    </row>
    <row r="51" spans="1:4" x14ac:dyDescent="0.25">
      <c r="A51" s="2" t="s">
        <v>38</v>
      </c>
      <c r="B51" s="2">
        <v>2</v>
      </c>
      <c r="C51" s="10" t="s">
        <v>57</v>
      </c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9</v>
      </c>
      <c r="C55" s="88" t="s">
        <v>40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5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34</v>
      </c>
      <c r="B59" s="4">
        <v>2</v>
      </c>
      <c r="C59" s="89" t="s">
        <v>81</v>
      </c>
      <c r="D59" s="9"/>
    </row>
    <row r="60" spans="1:4" ht="27" x14ac:dyDescent="0.25">
      <c r="A60" s="1" t="s">
        <v>34</v>
      </c>
      <c r="B60" s="2">
        <v>2</v>
      </c>
      <c r="C60" s="91" t="s">
        <v>82</v>
      </c>
      <c r="D60" s="10"/>
    </row>
    <row r="61" spans="1:4" ht="27" x14ac:dyDescent="0.25">
      <c r="A61" s="1" t="s">
        <v>34</v>
      </c>
      <c r="B61" s="2">
        <v>2</v>
      </c>
      <c r="C61" s="91" t="s">
        <v>83</v>
      </c>
      <c r="D61" s="10"/>
    </row>
    <row r="62" spans="1:4" ht="27" x14ac:dyDescent="0.25">
      <c r="A62" s="1" t="s">
        <v>32</v>
      </c>
      <c r="B62" s="2">
        <v>1</v>
      </c>
      <c r="C62" s="10" t="s">
        <v>53</v>
      </c>
      <c r="D62" s="10"/>
    </row>
    <row r="63" spans="1:4" x14ac:dyDescent="0.25">
      <c r="A63" s="1" t="s">
        <v>33</v>
      </c>
      <c r="B63" s="2">
        <v>1</v>
      </c>
      <c r="C63" s="10" t="s">
        <v>58</v>
      </c>
      <c r="D63" s="10"/>
    </row>
    <row r="64" spans="1:4" x14ac:dyDescent="0.25">
      <c r="A64" s="1" t="s">
        <v>31</v>
      </c>
      <c r="B64" s="2">
        <v>1</v>
      </c>
      <c r="C64" s="10" t="s">
        <v>59</v>
      </c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9</v>
      </c>
      <c r="C69" s="88" t="s">
        <v>40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5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38</v>
      </c>
      <c r="B73" s="4">
        <v>4</v>
      </c>
      <c r="C73" s="89" t="s">
        <v>91</v>
      </c>
      <c r="D73" s="9"/>
    </row>
    <row r="74" spans="1:4" x14ac:dyDescent="0.25">
      <c r="A74" s="1" t="s">
        <v>31</v>
      </c>
      <c r="B74" s="2">
        <v>4</v>
      </c>
      <c r="C74" s="91" t="s">
        <v>92</v>
      </c>
      <c r="D74" s="10"/>
    </row>
    <row r="75" spans="1:4" x14ac:dyDescent="0.25">
      <c r="A75" s="1" t="s">
        <v>33</v>
      </c>
      <c r="B75" s="2">
        <v>1</v>
      </c>
      <c r="C75" s="10" t="s">
        <v>55</v>
      </c>
      <c r="D75" s="10"/>
    </row>
    <row r="76" spans="1:4" x14ac:dyDescent="0.25">
      <c r="A76" s="52"/>
      <c r="B76" s="2"/>
      <c r="C76" s="52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9</v>
      </c>
      <c r="C83" s="88" t="s">
        <v>40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5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31</v>
      </c>
      <c r="B87" s="4">
        <v>3</v>
      </c>
      <c r="C87" s="9" t="s">
        <v>60</v>
      </c>
      <c r="D87" s="9"/>
    </row>
    <row r="88" spans="1:4" x14ac:dyDescent="0.25">
      <c r="A88" s="1" t="s">
        <v>38</v>
      </c>
      <c r="B88" s="2">
        <v>4</v>
      </c>
      <c r="C88" s="10" t="s">
        <v>61</v>
      </c>
      <c r="D88" s="10"/>
    </row>
    <row r="89" spans="1:4" x14ac:dyDescent="0.25">
      <c r="A89" s="1" t="s">
        <v>33</v>
      </c>
      <c r="B89" s="2">
        <v>1</v>
      </c>
      <c r="C89" s="10" t="s">
        <v>58</v>
      </c>
      <c r="D89" s="10"/>
    </row>
    <row r="90" spans="1:4" x14ac:dyDescent="0.25">
      <c r="A90" s="1" t="s">
        <v>39</v>
      </c>
      <c r="B90" s="2">
        <v>1</v>
      </c>
      <c r="C90" s="10" t="s">
        <v>62</v>
      </c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9</v>
      </c>
      <c r="C97" s="88" t="s">
        <v>40</v>
      </c>
      <c r="D97" s="13"/>
    </row>
    <row r="98" spans="1:4" ht="14.25" x14ac:dyDescent="0.3">
      <c r="A98" s="14"/>
      <c r="B98" s="14"/>
      <c r="C98" s="14"/>
      <c r="D98" s="14"/>
    </row>
    <row r="99" spans="1:4" x14ac:dyDescent="0.25">
      <c r="A99" s="87" t="s">
        <v>41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87:A96 A73:A75 A77:A82" xr:uid="{6677192C-3735-41D9-9249-D43FCA27D9CE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" xr:uid="{8752E118-87C2-461D-B1C9-AE7F5A3F9BF4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" xr:uid="{BFC62465-E973-4FF0-BBA8-C3A8466555BE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F5CDC329-182A-47B8-9E74-A2CAC279E6F5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Quentin Métroz</dc:creator>
  <cp:lastModifiedBy>Quentin Métroz</cp:lastModifiedBy>
  <cp:lastPrinted>2013-08-29T11:33:15Z</cp:lastPrinted>
  <dcterms:created xsi:type="dcterms:W3CDTF">1996-10-21T11:03:58Z</dcterms:created>
  <dcterms:modified xsi:type="dcterms:W3CDTF">2024-03-11T16:52:17Z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